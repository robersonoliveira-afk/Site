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f" sheetId="1" state="hidden" r:id="rId1"/>
    <sheet xmlns:r="http://schemas.openxmlformats.org/officeDocument/2006/relationships" name="1.Identificacao" sheetId="2" state="visible" r:id="rId2"/>
    <sheet xmlns:r="http://schemas.openxmlformats.org/officeDocument/2006/relationships" name="2.Receita" sheetId="3" state="visible" r:id="rId3"/>
    <sheet xmlns:r="http://schemas.openxmlformats.org/officeDocument/2006/relationships" name="3.Manejo" sheetId="4" state="visible" r:id="rId4"/>
    <sheet xmlns:r="http://schemas.openxmlformats.org/officeDocument/2006/relationships" name="4.COE" sheetId="5" state="visible" r:id="rId5"/>
    <sheet xmlns:r="http://schemas.openxmlformats.org/officeDocument/2006/relationships" name="5.Implantacao" sheetId="6" state="visible" r:id="rId6"/>
    <sheet xmlns:r="http://schemas.openxmlformats.org/officeDocument/2006/relationships" name="6.Fixos" sheetId="7" state="visible" r:id="rId7"/>
    <sheet xmlns:r="http://schemas.openxmlformats.org/officeDocument/2006/relationships" name="7.Resultado" sheetId="8" state="visible" r:id="rId8"/>
    <sheet xmlns:r="http://schemas.openxmlformats.org/officeDocument/2006/relationships" name="8.Relatorio" sheetId="9" state="visible" r:id="rId9"/>
  </sheets>
  <definedNames>
    <definedName name="projeto_val">'1.Identificacao'!C3</definedName>
    <definedName name="produtor_val">'1.Identificacao'!C4</definedName>
    <definedName name="unidade_val">'1.Identificacao'!C5</definedName>
    <definedName name="municipio_val">'1.Identificacao'!C6</definedName>
    <definedName name="data_val">'1.Identificacao'!C7</definedName>
    <definedName name="template_val">'1.Identificacao'!C9</definedName>
    <definedName name="fiscal_val">'1.Identificacao'!C10</definedName>
    <definedName name="produto_nome">'2.Receita'!C3</definedName>
    <definedName name="qtd_val">'2.Receita'!C4</definedName>
    <definedName name="prod_val">'2.Receita'!C5</definedName>
    <definedName name="preco_val">'2.Receita'!C6</definedName>
    <definedName name="sec_desc_val">'2.Receita'!C9</definedName>
    <definedName name="sec_valor_val">'2.Receita'!E9</definedName>
    <definedName name="comerc_pct">'2.Receita'!C12</definedName>
    <definedName name="rb_val">'2.Receita'!C15</definedName>
    <definedName name="comerc_rs">'2.Receita'!C16</definedName>
    <definedName name="funrural_rs">'2.Receita'!C17</definedName>
    <definedName name="rl_val">'2.Receita'!C18</definedName>
    <definedName name="modo_val">'3.Manejo'!C3</definedName>
    <definedName name="subtotal_coe">'4.COE'!H25</definedName>
    <definedName name="seguro_pct">'4.COE'!C27</definedName>
    <definedName name="ater_pct">'4.COE'!C28</definedName>
    <definedName name="juros_pct">'4.COE'!C29</definedName>
    <definedName name="seguro_rs">'4.COE'!E27</definedName>
    <definedName name="ater_rs">'4.COE'!E28</definedName>
    <definedName name="juros_rs">'4.COE'!E29</definedName>
    <definedName name="coe_total">'4.COE'!H31</definedName>
    <definedName name="cultura_val">'5.Implantacao'!C5</definedName>
    <definedName name="form_anos">'5.Implantacao'!C6</definedName>
    <definedName name="vida_util">'5.Implantacao'!C7</definedName>
    <definedName name="invest_ha">'5.Implantacao'!G27</definedName>
    <definedName name="area_impl">'5.Implantacao'!G28</definedName>
    <definedName name="invest_total">'5.Implantacao'!G29</definedName>
    <definedName name="dep_formacao">'5.Implantacao'!G31</definedName>
    <definedName name="dep_bens">'6.Fixos'!G16</definedName>
    <definedName name="dep_total">'6.Fixos'!G18</definedName>
    <definedName name="cap_medio">'6.Fixos'!G22</definedName>
    <definedName name="prol_val">'6.Fixos'!C25</definedName>
    <definedName name="outros_fixos">'6.Fixos'!C26</definedName>
    <definedName name="taxa_cap">'6.Fixos'!C27</definedName>
    <definedName name="arrend">'6.Fixos'!C28</definedName>
    <definedName name="area_fixos">'6.Fixos'!C29</definedName>
    <definedName name="rem_cap">'6.Fixos'!G25</definedName>
    <definedName name="rem_terra">'6.Fixos'!G26</definedName>
    <definedName name="cot_val">'6.Fixos'!G35</definedName>
    <definedName name="ct_val">'6.Fixos'!G38</definedName>
    <definedName name="margem_bruta">'7.Resultado'!C6</definedName>
    <definedName name="margem_liq">'7.Resultado'!C8</definedName>
    <definedName name="resultado_final">'7.Resultado'!C10</definedName>
    <definedName name="custo_form">'7.Resultado'!C22</definedName>
    <definedName name="taxa_desc">'7.Resultado'!C23</definedName>
    <definedName name="vpl_val">'7.Resultado'!C68</definedName>
    <definedName name="tir_val">'7.Resultado'!C69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0&quot;%&quot;"/>
    <numFmt numFmtId="166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D47A1"/>
      <sz val="10"/>
    </font>
    <font>
      <name val="Calibri"/>
      <b val="1"/>
      <color rgb="000D47A1"/>
      <sz val="11"/>
    </font>
    <font>
      <name val="Calibri"/>
      <b val="1"/>
      <color rgb="000D47A1"/>
      <sz val="10"/>
    </font>
    <font>
      <name val="Calibri"/>
      <b val="1"/>
      <color rgb="001B5E20"/>
      <sz val="12"/>
    </font>
    <font>
      <name val="Calibri"/>
      <b val="1"/>
      <color rgb="000D47A1"/>
      <sz val="12"/>
    </font>
    <font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1B5E20"/>
      <sz val="11"/>
    </font>
    <font>
      <name val="Calibri"/>
      <b val="1"/>
      <color rgb="00FFFFFF"/>
      <sz val="12"/>
    </font>
    <font>
      <name val="Calibri"/>
      <b val="1"/>
      <color rgb="001B5E20"/>
      <sz val="10"/>
    </font>
    <font>
      <i val="1"/>
      <color rgb="00B71C1C"/>
      <sz val="9"/>
    </font>
    <font>
      <name val="Calibri"/>
      <b val="1"/>
      <color rgb="00FFFFFF"/>
      <sz val="16"/>
    </font>
    <font>
      <name val="Calibri"/>
      <b val="1"/>
      <color rgb="00E65100"/>
      <sz val="13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E5C3F"/>
        <bgColor rgb="002E5C3F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applyProtection="1" pivotButton="0" quotePrefix="0" xfId="0">
      <alignment horizontal="right" vertical="center"/>
      <protection locked="0" hidden="0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3" fillId="3" borderId="1" applyAlignment="1" applyProtection="1" pivotButton="0" quotePrefix="0" xfId="0">
      <alignment horizontal="left" vertical="top" wrapText="1"/>
      <protection locked="0" hidden="0"/>
    </xf>
    <xf numFmtId="4" fontId="3" fillId="3" borderId="1" applyAlignment="1" applyProtection="1" pivotButton="0" quotePrefix="0" xfId="0">
      <alignment horizontal="left" vertical="center" wrapText="1"/>
      <protection locked="0" hidden="0"/>
    </xf>
    <xf numFmtId="0" fontId="4" fillId="4" borderId="1" applyAlignment="1" pivotButton="0" quotePrefix="0" xfId="0">
      <alignment horizontal="left" vertical="center" wrapText="1"/>
    </xf>
    <xf numFmtId="164" fontId="3" fillId="3" borderId="1" applyAlignment="1" applyProtection="1" pivotButton="0" quotePrefix="0" xfId="0">
      <alignment horizontal="left" vertical="center" wrapText="1"/>
      <protection locked="0" hidden="0"/>
    </xf>
    <xf numFmtId="165" fontId="3" fillId="3" borderId="1" applyAlignment="1" applyProtection="1" pivotButton="0" quotePrefix="0" xfId="0">
      <alignment horizontal="left" vertical="center" wrapText="1"/>
      <protection locked="0" hidden="0"/>
    </xf>
    <xf numFmtId="1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right" vertical="center"/>
    </xf>
    <xf numFmtId="164" fontId="8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" fontId="3" fillId="3" borderId="1" applyAlignment="1" applyProtection="1" pivotButton="0" quotePrefix="0" xfId="0">
      <alignment horizontal="left" vertical="center" wrapText="1"/>
      <protection locked="0" hidden="0"/>
    </xf>
    <xf numFmtId="4" fontId="4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left" vertical="center" wrapText="1"/>
    </xf>
    <xf numFmtId="10" fontId="6" fillId="4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left" vertical="center" wrapText="1"/>
    </xf>
    <xf numFmtId="10" fontId="8" fillId="4" borderId="1" applyAlignment="1" pivotButton="0" quotePrefix="0" xfId="0">
      <alignment horizontal="left" vertical="center" wrapText="1"/>
    </xf>
    <xf numFmtId="166" fontId="8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2" borderId="0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164" fontId="7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Unidade</t>
        </is>
      </c>
      <c r="D1" t="inlineStr">
        <is>
          <t>LblQtd</t>
        </is>
      </c>
      <c r="E1" t="inlineStr">
        <is>
          <t>LblProd</t>
        </is>
      </c>
      <c r="F1" t="inlineStr">
        <is>
          <t>UnProd</t>
        </is>
      </c>
      <c r="G1" t="inlineStr">
        <is>
          <t>UnPreco</t>
        </is>
      </c>
      <c r="H1" t="inlineStr">
        <is>
          <t>Familia</t>
        </is>
      </c>
      <c r="I1" t="inlineStr">
        <is>
          <t>Modo</t>
        </is>
      </c>
      <c r="J1" t="inlineStr">
        <is>
          <t>Perene</t>
        </is>
      </c>
      <c r="K1" t="inlineStr">
        <is>
          <t>Giro</t>
        </is>
      </c>
      <c r="M1" t="inlineStr">
        <is>
          <t>Familia</t>
        </is>
      </c>
      <c r="N1" t="inlineStr">
        <is>
          <t>Categoria</t>
        </is>
      </c>
      <c r="P1" t="inlineStr">
        <is>
          <t>Codigo</t>
        </is>
      </c>
      <c r="Q1" t="inlineStr">
        <is>
          <t>Nome</t>
        </is>
      </c>
      <c r="R1" t="inlineStr">
        <is>
          <t>Form</t>
        </is>
      </c>
      <c r="S1" t="inlineStr">
        <is>
          <t>Vida</t>
        </is>
      </c>
      <c r="U1" t="inlineStr">
        <is>
          <t>Fiscal</t>
        </is>
      </c>
      <c r="V1" t="inlineStr">
        <is>
          <t>Aliquota</t>
        </is>
      </c>
    </row>
    <row r="2">
      <c r="A2" t="inlineStr">
        <is>
          <t>graos</t>
        </is>
      </c>
      <c r="B2" t="inlineStr">
        <is>
          <t>Grãos e cereais</t>
        </is>
      </c>
      <c r="C2" t="inlineStr">
        <is>
          <t>ha</t>
        </is>
      </c>
      <c r="D2" t="inlineStr">
        <is>
          <t>Área</t>
        </is>
      </c>
      <c r="E2" t="inlineStr">
        <is>
          <t>Produtividade</t>
        </is>
      </c>
      <c r="F2" t="inlineStr">
        <is>
          <t>sc/ha</t>
        </is>
      </c>
      <c r="G2" t="inlineStr">
        <is>
          <t>R$/sc</t>
        </is>
      </c>
      <c r="H2" t="inlineStr">
        <is>
          <t>lavoura</t>
        </is>
      </c>
      <c r="I2" t="inlineStr">
        <is>
          <t>A</t>
        </is>
      </c>
      <c r="J2" t="n">
        <v>0</v>
      </c>
      <c r="K2" t="n">
        <v>0</v>
      </c>
      <c r="M2" t="inlineStr">
        <is>
          <t>lavoura</t>
        </is>
      </c>
      <c r="N2" t="inlineStr">
        <is>
          <t>Sementes/mudas</t>
        </is>
      </c>
      <c r="P2" t="inlineStr">
        <is>
          <t>uva</t>
        </is>
      </c>
      <c r="Q2" t="inlineStr">
        <is>
          <t>Uva</t>
        </is>
      </c>
      <c r="R2" t="n">
        <v>3</v>
      </c>
      <c r="S2" t="n">
        <v>20</v>
      </c>
      <c r="U2" t="inlineStr">
        <is>
          <t>PF</t>
        </is>
      </c>
      <c r="V2" t="n">
        <v>0.0163</v>
      </c>
      <c r="X2" t="inlineStr">
        <is>
          <t>Agrotóxicos</t>
        </is>
      </c>
    </row>
    <row r="3">
      <c r="A3" t="inlineStr">
        <is>
          <t>fumo</t>
        </is>
      </c>
      <c r="B3" t="inlineStr">
        <is>
          <t>Fumo (tabaco)</t>
        </is>
      </c>
      <c r="C3" t="inlineStr">
        <is>
          <t>ha</t>
        </is>
      </c>
      <c r="D3" t="inlineStr">
        <is>
          <t>Área</t>
        </is>
      </c>
      <c r="E3" t="inlineStr">
        <is>
          <t>Produtividade</t>
        </is>
      </c>
      <c r="F3" t="inlineStr">
        <is>
          <t>@/ha</t>
        </is>
      </c>
      <c r="G3" t="inlineStr">
        <is>
          <t>R$/@</t>
        </is>
      </c>
      <c r="H3" t="inlineStr">
        <is>
          <t>lavoura</t>
        </is>
      </c>
      <c r="I3" t="inlineStr">
        <is>
          <t>A</t>
        </is>
      </c>
      <c r="J3" t="n">
        <v>0</v>
      </c>
      <c r="K3" t="n">
        <v>0</v>
      </c>
      <c r="M3" t="inlineStr">
        <is>
          <t>lavoura</t>
        </is>
      </c>
      <c r="N3" t="inlineStr">
        <is>
          <t>Fertilizantes</t>
        </is>
      </c>
      <c r="P3" t="inlineStr">
        <is>
          <t>maca</t>
        </is>
      </c>
      <c r="Q3" t="inlineStr">
        <is>
          <t>Maçã</t>
        </is>
      </c>
      <c r="R3" t="n">
        <v>4</v>
      </c>
      <c r="S3" t="n">
        <v>20</v>
      </c>
      <c r="U3" t="inlineStr">
        <is>
          <t>PJ</t>
        </is>
      </c>
      <c r="V3" t="n">
        <v>0.0223</v>
      </c>
      <c r="X3" t="inlineStr">
        <is>
          <t>Alimentação</t>
        </is>
      </c>
    </row>
    <row r="4">
      <c r="A4" t="inlineStr">
        <is>
          <t>horta</t>
        </is>
      </c>
      <c r="B4" t="inlineStr">
        <is>
          <t>Horta / olericultura</t>
        </is>
      </c>
      <c r="C4" t="inlineStr">
        <is>
          <t>ha</t>
        </is>
      </c>
      <c r="D4" t="inlineStr">
        <is>
          <t>Área</t>
        </is>
      </c>
      <c r="E4" t="inlineStr">
        <is>
          <t>Produtividade</t>
        </is>
      </c>
      <c r="F4" t="inlineStr">
        <is>
          <t>kg/ha</t>
        </is>
      </c>
      <c r="G4" t="inlineStr">
        <is>
          <t>R$/kg</t>
        </is>
      </c>
      <c r="H4" t="inlineStr">
        <is>
          <t>lavoura</t>
        </is>
      </c>
      <c r="I4" t="inlineStr">
        <is>
          <t>A</t>
        </is>
      </c>
      <c r="J4" t="n">
        <v>0</v>
      </c>
      <c r="K4" t="n">
        <v>0</v>
      </c>
      <c r="M4" t="inlineStr">
        <is>
          <t>lavoura</t>
        </is>
      </c>
      <c r="N4" t="inlineStr">
        <is>
          <t>Corretivos</t>
        </is>
      </c>
      <c r="P4" t="inlineStr">
        <is>
          <t>citros</t>
        </is>
      </c>
      <c r="Q4" t="inlineStr">
        <is>
          <t>Citros</t>
        </is>
      </c>
      <c r="R4" t="n">
        <v>3</v>
      </c>
      <c r="S4" t="n">
        <v>20</v>
      </c>
      <c r="X4" t="inlineStr">
        <is>
          <t>Alimentação suplementar</t>
        </is>
      </c>
    </row>
    <row r="5">
      <c r="A5" t="inlineStr">
        <is>
          <t>fruta</t>
        </is>
      </c>
      <c r="B5" t="inlineStr">
        <is>
          <t>Fruticultura</t>
        </is>
      </c>
      <c r="C5" t="inlineStr">
        <is>
          <t>ha</t>
        </is>
      </c>
      <c r="D5" t="inlineStr">
        <is>
          <t>Área</t>
        </is>
      </c>
      <c r="E5" t="inlineStr">
        <is>
          <t>Produtividade</t>
        </is>
      </c>
      <c r="F5" t="inlineStr">
        <is>
          <t>kg/ha</t>
        </is>
      </c>
      <c r="G5" t="inlineStr">
        <is>
          <t>R$/kg</t>
        </is>
      </c>
      <c r="H5" t="inlineStr">
        <is>
          <t>lavoura</t>
        </is>
      </c>
      <c r="I5" t="inlineStr">
        <is>
          <t>B</t>
        </is>
      </c>
      <c r="J5" t="n">
        <v>1</v>
      </c>
      <c r="K5" t="n">
        <v>0</v>
      </c>
      <c r="M5" t="inlineStr">
        <is>
          <t>lavoura</t>
        </is>
      </c>
      <c r="N5" t="inlineStr">
        <is>
          <t>Agrotóxicos</t>
        </is>
      </c>
      <c r="P5" t="inlineStr">
        <is>
          <t>pessego</t>
        </is>
      </c>
      <c r="Q5" t="inlineStr">
        <is>
          <t>Pêssego</t>
        </is>
      </c>
      <c r="R5" t="n">
        <v>3</v>
      </c>
      <c r="S5" t="n">
        <v>12</v>
      </c>
      <c r="X5" t="inlineStr">
        <is>
          <t>Aquisição de animais (giro)</t>
        </is>
      </c>
    </row>
    <row r="6">
      <c r="A6" t="inlineStr">
        <is>
          <t>ervamate</t>
        </is>
      </c>
      <c r="B6" t="inlineStr">
        <is>
          <t>Erva-mate</t>
        </is>
      </c>
      <c r="C6" t="inlineStr">
        <is>
          <t>ha</t>
        </is>
      </c>
      <c r="D6" t="inlineStr">
        <is>
          <t>Área</t>
        </is>
      </c>
      <c r="E6" t="inlineStr">
        <is>
          <t>Produtividade</t>
        </is>
      </c>
      <c r="F6" t="inlineStr">
        <is>
          <t>kg/ha</t>
        </is>
      </c>
      <c r="G6" t="inlineStr">
        <is>
          <t>R$/kg</t>
        </is>
      </c>
      <c r="H6" t="inlineStr">
        <is>
          <t>lavoura</t>
        </is>
      </c>
      <c r="I6" t="inlineStr">
        <is>
          <t>B</t>
        </is>
      </c>
      <c r="J6" t="n">
        <v>1</v>
      </c>
      <c r="K6" t="n">
        <v>0</v>
      </c>
      <c r="M6" t="inlineStr">
        <is>
          <t>lavoura</t>
        </is>
      </c>
      <c r="N6" t="inlineStr">
        <is>
          <t>Operações/mecanização</t>
        </is>
      </c>
      <c r="P6" t="inlineStr">
        <is>
          <t>erva</t>
        </is>
      </c>
      <c r="Q6" t="inlineStr">
        <is>
          <t>Erva-mate</t>
        </is>
      </c>
      <c r="R6" t="n">
        <v>5</v>
      </c>
      <c r="S6" t="n">
        <v>30</v>
      </c>
      <c r="X6" t="inlineStr">
        <is>
          <t>Corretivos</t>
        </is>
      </c>
    </row>
    <row r="7">
      <c r="A7" t="inlineStr">
        <is>
          <t>madeira</t>
        </is>
      </c>
      <c r="B7" t="inlineStr">
        <is>
          <t>Silvicultura</t>
        </is>
      </c>
      <c r="C7" t="inlineStr">
        <is>
          <t>ha</t>
        </is>
      </c>
      <c r="D7" t="inlineStr">
        <is>
          <t>Área</t>
        </is>
      </c>
      <c r="E7" t="inlineStr">
        <is>
          <t>Produtividade</t>
        </is>
      </c>
      <c r="F7" t="inlineStr">
        <is>
          <t>m³/ha</t>
        </is>
      </c>
      <c r="G7" t="inlineStr">
        <is>
          <t>R$/m³</t>
        </is>
      </c>
      <c r="H7" t="inlineStr">
        <is>
          <t>lavoura</t>
        </is>
      </c>
      <c r="I7" t="inlineStr">
        <is>
          <t>H</t>
        </is>
      </c>
      <c r="J7" t="n">
        <v>1</v>
      </c>
      <c r="K7" t="n">
        <v>0</v>
      </c>
      <c r="M7" t="inlineStr">
        <is>
          <t>lavoura</t>
        </is>
      </c>
      <c r="N7" t="inlineStr">
        <is>
          <t>Mão de obra</t>
        </is>
      </c>
      <c r="P7" t="inlineStr">
        <is>
          <t>peca</t>
        </is>
      </c>
      <c r="Q7" t="inlineStr">
        <is>
          <t>Noz-pecã</t>
        </is>
      </c>
      <c r="R7" t="n">
        <v>7</v>
      </c>
      <c r="S7" t="n">
        <v>40</v>
      </c>
      <c r="X7" t="inlineStr">
        <is>
          <t>Embalagens e materiais</t>
        </is>
      </c>
    </row>
    <row r="8">
      <c r="A8" t="inlineStr">
        <is>
          <t>corte</t>
        </is>
      </c>
      <c r="B8" t="inlineStr">
        <is>
          <t>Corte / confinamento</t>
        </is>
      </c>
      <c r="C8" t="inlineStr">
        <is>
          <t>cabeça</t>
        </is>
      </c>
      <c r="D8" t="inlineStr">
        <is>
          <t>Cabeças (giro)</t>
        </is>
      </c>
      <c r="E8" t="inlineStr">
        <is>
          <t>Peso de venda</t>
        </is>
      </c>
      <c r="F8" t="inlineStr">
        <is>
          <t>kg PV/cab</t>
        </is>
      </c>
      <c r="G8" t="inlineStr">
        <is>
          <t>R$/kg vivo</t>
        </is>
      </c>
      <c r="H8" t="inlineStr">
        <is>
          <t>criacao</t>
        </is>
      </c>
      <c r="I8" t="inlineStr">
        <is>
          <t>D</t>
        </is>
      </c>
      <c r="J8" t="n">
        <v>0</v>
      </c>
      <c r="K8" t="n">
        <v>1</v>
      </c>
      <c r="M8" t="inlineStr">
        <is>
          <t>lavoura</t>
        </is>
      </c>
      <c r="N8" t="inlineStr">
        <is>
          <t>Outros</t>
        </is>
      </c>
      <c r="P8" t="inlineStr">
        <is>
          <t>oliveira</t>
        </is>
      </c>
      <c r="Q8" t="inlineStr">
        <is>
          <t>Oliveira</t>
        </is>
      </c>
      <c r="R8" t="n">
        <v>4</v>
      </c>
      <c r="S8" t="n">
        <v>30</v>
      </c>
      <c r="X8" t="inlineStr">
        <is>
          <t>Energia e aquecimento</t>
        </is>
      </c>
    </row>
    <row r="9">
      <c r="A9" t="inlineStr">
        <is>
          <t>leite</t>
        </is>
      </c>
      <c r="B9" t="inlineStr">
        <is>
          <t>Leite</t>
        </is>
      </c>
      <c r="C9" t="inlineStr">
        <is>
          <t>vaca</t>
        </is>
      </c>
      <c r="D9" t="inlineStr">
        <is>
          <t>Vacas em lactação</t>
        </is>
      </c>
      <c r="E9" t="inlineStr">
        <is>
          <t>Produção</t>
        </is>
      </c>
      <c r="F9" t="inlineStr">
        <is>
          <t>L/vaca/ano</t>
        </is>
      </c>
      <c r="G9" t="inlineStr">
        <is>
          <t>R$/L</t>
        </is>
      </c>
      <c r="H9" t="inlineStr">
        <is>
          <t>criacao</t>
        </is>
      </c>
      <c r="I9" t="inlineStr">
        <is>
          <t>C</t>
        </is>
      </c>
      <c r="J9" t="n">
        <v>0</v>
      </c>
      <c r="K9" t="n">
        <v>0</v>
      </c>
      <c r="M9" t="inlineStr">
        <is>
          <t>criacao</t>
        </is>
      </c>
      <c r="N9" t="inlineStr">
        <is>
          <t>Alimentação</t>
        </is>
      </c>
      <c r="P9" t="inlineStr">
        <is>
          <t>eucalipto</t>
        </is>
      </c>
      <c r="Q9" t="inlineStr">
        <is>
          <t>Eucalipto</t>
        </is>
      </c>
      <c r="R9" t="n">
        <v>7</v>
      </c>
      <c r="S9" t="n">
        <v>7</v>
      </c>
      <c r="X9" t="inlineStr">
        <is>
          <t>Energia/água</t>
        </is>
      </c>
    </row>
    <row r="10">
      <c r="A10" t="inlineStr">
        <is>
          <t>cria</t>
        </is>
      </c>
      <c r="B10" t="inlineStr">
        <is>
          <t>Cria (bovinos)</t>
        </is>
      </c>
      <c r="C10" t="inlineStr">
        <is>
          <t>matriz</t>
        </is>
      </c>
      <c r="D10" t="inlineStr">
        <is>
          <t>Matrizes</t>
        </is>
      </c>
      <c r="E10" t="inlineStr">
        <is>
          <t>Produção</t>
        </is>
      </c>
      <c r="F10" t="inlineStr">
        <is>
          <t>kg terneiro/matriz/ano</t>
        </is>
      </c>
      <c r="G10" t="inlineStr">
        <is>
          <t>R$/kg</t>
        </is>
      </c>
      <c r="H10" t="inlineStr">
        <is>
          <t>criacao</t>
        </is>
      </c>
      <c r="I10" t="inlineStr">
        <is>
          <t>C</t>
        </is>
      </c>
      <c r="J10" t="n">
        <v>0</v>
      </c>
      <c r="K10" t="n">
        <v>0</v>
      </c>
      <c r="M10" t="inlineStr">
        <is>
          <t>criacao</t>
        </is>
      </c>
      <c r="N10" t="inlineStr">
        <is>
          <t>Sanidade</t>
        </is>
      </c>
      <c r="X10" t="inlineStr">
        <is>
          <t>Fertilizantes</t>
        </is>
      </c>
    </row>
    <row r="11">
      <c r="A11" t="inlineStr">
        <is>
          <t>ovinos</t>
        </is>
      </c>
      <c r="B11" t="inlineStr">
        <is>
          <t>Ovinos</t>
        </is>
      </c>
      <c r="C11" t="inlineStr">
        <is>
          <t>matriz</t>
        </is>
      </c>
      <c r="D11" t="inlineStr">
        <is>
          <t>Matrizes (ovelhas)</t>
        </is>
      </c>
      <c r="E11" t="inlineStr">
        <is>
          <t>Produção</t>
        </is>
      </c>
      <c r="F11" t="inlineStr">
        <is>
          <t>kg PV/matriz/ano</t>
        </is>
      </c>
      <c r="G11" t="inlineStr">
        <is>
          <t>R$/kg PV</t>
        </is>
      </c>
      <c r="H11" t="inlineStr">
        <is>
          <t>criacao</t>
        </is>
      </c>
      <c r="I11" t="inlineStr">
        <is>
          <t>C</t>
        </is>
      </c>
      <c r="J11" t="n">
        <v>0</v>
      </c>
      <c r="K11" t="n">
        <v>0</v>
      </c>
      <c r="M11" t="inlineStr">
        <is>
          <t>criacao</t>
        </is>
      </c>
      <c r="N11" t="inlineStr">
        <is>
          <t>Aquisição de animais (giro)</t>
        </is>
      </c>
      <c r="X11" t="inlineStr">
        <is>
          <t>Insumos</t>
        </is>
      </c>
    </row>
    <row r="12">
      <c r="A12" t="inlineStr">
        <is>
          <t>suinos</t>
        </is>
      </c>
      <c r="B12" t="inlineStr">
        <is>
          <t>Suínos</t>
        </is>
      </c>
      <c r="C12" t="inlineStr">
        <is>
          <t>cabeça</t>
        </is>
      </c>
      <c r="D12" t="inlineStr">
        <is>
          <t>Cabeças alojadas</t>
        </is>
      </c>
      <c r="E12" t="inlineStr">
        <is>
          <t>Peso de abate</t>
        </is>
      </c>
      <c r="F12" t="inlineStr">
        <is>
          <t>kg/cab</t>
        </is>
      </c>
      <c r="G12" t="inlineStr">
        <is>
          <t>R$/kg</t>
        </is>
      </c>
      <c r="H12" t="inlineStr">
        <is>
          <t>criacao</t>
        </is>
      </c>
      <c r="I12" t="inlineStr">
        <is>
          <t>D</t>
        </is>
      </c>
      <c r="J12" t="n">
        <v>0</v>
      </c>
      <c r="K12" t="n">
        <v>1</v>
      </c>
      <c r="M12" t="inlineStr">
        <is>
          <t>criacao</t>
        </is>
      </c>
      <c r="N12" t="inlineStr">
        <is>
          <t>Mão de obra</t>
        </is>
      </c>
      <c r="X12" t="inlineStr">
        <is>
          <t>Materiais e embalagens</t>
        </is>
      </c>
    </row>
    <row r="13">
      <c r="A13" t="inlineStr">
        <is>
          <t>aves_corte</t>
        </is>
      </c>
      <c r="B13" t="inlineStr">
        <is>
          <t>Aves de corte</t>
        </is>
      </c>
      <c r="C13" t="inlineStr">
        <is>
          <t>cabeça</t>
        </is>
      </c>
      <c r="D13" t="inlineStr">
        <is>
          <t>Cabeças alojadas</t>
        </is>
      </c>
      <c r="E13" t="inlineStr">
        <is>
          <t>Peso de abate</t>
        </is>
      </c>
      <c r="F13" t="inlineStr">
        <is>
          <t>kg/cab</t>
        </is>
      </c>
      <c r="G13" t="inlineStr">
        <is>
          <t>R$/kg</t>
        </is>
      </c>
      <c r="H13" t="inlineStr">
        <is>
          <t>criacao</t>
        </is>
      </c>
      <c r="I13" t="inlineStr">
        <is>
          <t>D</t>
        </is>
      </c>
      <c r="J13" t="n">
        <v>0</v>
      </c>
      <c r="K13" t="n">
        <v>1</v>
      </c>
      <c r="M13" t="inlineStr">
        <is>
          <t>criacao</t>
        </is>
      </c>
      <c r="N13" t="inlineStr">
        <is>
          <t>Energia/água</t>
        </is>
      </c>
      <c r="X13" t="inlineStr">
        <is>
          <t>Mão de obra</t>
        </is>
      </c>
    </row>
    <row r="14">
      <c r="A14" t="inlineStr">
        <is>
          <t>aves_postura</t>
        </is>
      </c>
      <c r="B14" t="inlineStr">
        <is>
          <t>Galinhas poedeiras</t>
        </is>
      </c>
      <c r="C14" t="inlineStr">
        <is>
          <t>matriz</t>
        </is>
      </c>
      <c r="D14" t="inlineStr">
        <is>
          <t>Matrizes (galinhas)</t>
        </is>
      </c>
      <c r="E14" t="inlineStr">
        <is>
          <t>Produção</t>
        </is>
      </c>
      <c r="F14" t="inlineStr">
        <is>
          <t>dúzias/matriz/ano</t>
        </is>
      </c>
      <c r="G14" t="inlineStr">
        <is>
          <t>R$/dúzia</t>
        </is>
      </c>
      <c r="H14" t="inlineStr">
        <is>
          <t>postura</t>
        </is>
      </c>
      <c r="I14" t="inlineStr">
        <is>
          <t>G</t>
        </is>
      </c>
      <c r="J14" t="n">
        <v>0</v>
      </c>
      <c r="K14" t="n">
        <v>0</v>
      </c>
      <c r="M14" t="inlineStr">
        <is>
          <t>criacao</t>
        </is>
      </c>
      <c r="N14" t="inlineStr">
        <is>
          <t>Outros</t>
        </is>
      </c>
      <c r="X14" t="inlineStr">
        <is>
          <t>Operações</t>
        </is>
      </c>
    </row>
    <row r="15">
      <c r="A15" t="inlineStr">
        <is>
          <t>apicultura</t>
        </is>
      </c>
      <c r="B15" t="inlineStr">
        <is>
          <t>Apicultura</t>
        </is>
      </c>
      <c r="C15" t="inlineStr">
        <is>
          <t>colmeia</t>
        </is>
      </c>
      <c r="D15" t="inlineStr">
        <is>
          <t>Colmeias</t>
        </is>
      </c>
      <c r="E15" t="inlineStr">
        <is>
          <t>Produção</t>
        </is>
      </c>
      <c r="F15" t="inlineStr">
        <is>
          <t>kg mel/colmeia/ano</t>
        </is>
      </c>
      <c r="G15" t="inlineStr">
        <is>
          <t>R$/kg</t>
        </is>
      </c>
      <c r="H15" t="inlineStr">
        <is>
          <t>apicultura</t>
        </is>
      </c>
      <c r="I15" t="inlineStr">
        <is>
          <t>F</t>
        </is>
      </c>
      <c r="J15" t="n">
        <v>0</v>
      </c>
      <c r="K15" t="n">
        <v>0</v>
      </c>
      <c r="M15" t="inlineStr">
        <is>
          <t>apicultura</t>
        </is>
      </c>
      <c r="N15" t="inlineStr">
        <is>
          <t>Alimentação suplementar</t>
        </is>
      </c>
      <c r="X15" t="inlineStr">
        <is>
          <t>Operações/mecanização</t>
        </is>
      </c>
    </row>
    <row r="16">
      <c r="A16" t="inlineStr">
        <is>
          <t>tilapia</t>
        </is>
      </c>
      <c r="B16" t="inlineStr">
        <is>
          <t>Tilápia</t>
        </is>
      </c>
      <c r="C16" t="inlineStr">
        <is>
          <t>tanque</t>
        </is>
      </c>
      <c r="D16" t="inlineStr">
        <is>
          <t>Tanques</t>
        </is>
      </c>
      <c r="E16" t="inlineStr">
        <is>
          <t>Produção</t>
        </is>
      </c>
      <c r="F16" t="inlineStr">
        <is>
          <t>kg/tanque</t>
        </is>
      </c>
      <c r="G16" t="inlineStr">
        <is>
          <t>R$/kg</t>
        </is>
      </c>
      <c r="H16" t="inlineStr">
        <is>
          <t>criacao</t>
        </is>
      </c>
      <c r="I16" t="inlineStr">
        <is>
          <t>D</t>
        </is>
      </c>
      <c r="J16" t="n">
        <v>0</v>
      </c>
      <c r="K16" t="n">
        <v>1</v>
      </c>
      <c r="M16" t="inlineStr">
        <is>
          <t>apicultura</t>
        </is>
      </c>
      <c r="N16" t="inlineStr">
        <is>
          <t>Sanidade</t>
        </is>
      </c>
      <c r="X16" t="inlineStr">
        <is>
          <t>Outros</t>
        </is>
      </c>
    </row>
    <row r="17">
      <c r="A17" t="inlineStr">
        <is>
          <t>outra</t>
        </is>
      </c>
      <c r="B17" t="inlineStr">
        <is>
          <t>Outra</t>
        </is>
      </c>
      <c r="C17" t="inlineStr">
        <is>
          <t>unidade</t>
        </is>
      </c>
      <c r="D17" t="inlineStr">
        <is>
          <t>Unidades</t>
        </is>
      </c>
      <c r="E17" t="inlineStr">
        <is>
          <t>Produtividade</t>
        </is>
      </c>
      <c r="F17" t="inlineStr">
        <is>
          <t>un.</t>
        </is>
      </c>
      <c r="G17" t="inlineStr">
        <is>
          <t>R$/un.</t>
        </is>
      </c>
      <c r="H17" t="inlineStr">
        <is>
          <t>outra</t>
        </is>
      </c>
      <c r="I17" t="inlineStr">
        <is>
          <t>E</t>
        </is>
      </c>
      <c r="J17" t="n">
        <v>0</v>
      </c>
      <c r="K17" t="n">
        <v>0</v>
      </c>
      <c r="M17" t="inlineStr">
        <is>
          <t>apicultura</t>
        </is>
      </c>
      <c r="N17" t="inlineStr">
        <is>
          <t>Rainha e enxames</t>
        </is>
      </c>
      <c r="X17" t="inlineStr">
        <is>
          <t>Rainha e enxames</t>
        </is>
      </c>
    </row>
    <row r="18">
      <c r="M18" t="inlineStr">
        <is>
          <t>apicultura</t>
        </is>
      </c>
      <c r="N18" t="inlineStr">
        <is>
          <t>Materiais e embalagens</t>
        </is>
      </c>
      <c r="X18" t="inlineStr">
        <is>
          <t>Ração e suplementos</t>
        </is>
      </c>
    </row>
    <row r="19">
      <c r="M19" t="inlineStr">
        <is>
          <t>apicultura</t>
        </is>
      </c>
      <c r="N19" t="inlineStr">
        <is>
          <t>Mão de obra</t>
        </is>
      </c>
      <c r="X19" t="inlineStr">
        <is>
          <t>Sanidade</t>
        </is>
      </c>
    </row>
    <row r="20">
      <c r="M20" t="inlineStr">
        <is>
          <t>apicultura</t>
        </is>
      </c>
      <c r="N20" t="inlineStr">
        <is>
          <t>Outros</t>
        </is>
      </c>
      <c r="X20" t="inlineStr">
        <is>
          <t>Sementes/mudas</t>
        </is>
      </c>
    </row>
    <row r="21">
      <c r="M21" t="inlineStr">
        <is>
          <t>postura</t>
        </is>
      </c>
      <c r="N21" t="inlineStr">
        <is>
          <t>Ração e suplementos</t>
        </is>
      </c>
    </row>
    <row r="22">
      <c r="M22" t="inlineStr">
        <is>
          <t>postura</t>
        </is>
      </c>
      <c r="N22" t="inlineStr">
        <is>
          <t>Sanidade</t>
        </is>
      </c>
    </row>
    <row r="23">
      <c r="M23" t="inlineStr">
        <is>
          <t>postura</t>
        </is>
      </c>
      <c r="N23" t="inlineStr">
        <is>
          <t>Energia e aquecimento</t>
        </is>
      </c>
    </row>
    <row r="24">
      <c r="M24" t="inlineStr">
        <is>
          <t>postura</t>
        </is>
      </c>
      <c r="N24" t="inlineStr">
        <is>
          <t>Embalagens e materiais</t>
        </is>
      </c>
    </row>
    <row r="25">
      <c r="M25" t="inlineStr">
        <is>
          <t>postura</t>
        </is>
      </c>
      <c r="N25" t="inlineStr">
        <is>
          <t>Mão de obra</t>
        </is>
      </c>
    </row>
    <row r="26">
      <c r="M26" t="inlineStr">
        <is>
          <t>postura</t>
        </is>
      </c>
      <c r="N26" t="inlineStr">
        <is>
          <t>Outros</t>
        </is>
      </c>
    </row>
    <row r="27">
      <c r="M27" t="inlineStr">
        <is>
          <t>outra</t>
        </is>
      </c>
      <c r="N27" t="inlineStr">
        <is>
          <t>Insumos</t>
        </is>
      </c>
    </row>
    <row r="28">
      <c r="M28" t="inlineStr">
        <is>
          <t>outra</t>
        </is>
      </c>
      <c r="N28" t="inlineStr">
        <is>
          <t>Mão de obra</t>
        </is>
      </c>
    </row>
    <row r="29">
      <c r="M29" t="inlineStr">
        <is>
          <t>outra</t>
        </is>
      </c>
      <c r="N29" t="inlineStr">
        <is>
          <t>Operações</t>
        </is>
      </c>
    </row>
    <row r="30">
      <c r="M30" t="inlineStr">
        <is>
          <t>outra</t>
        </is>
      </c>
      <c r="N30" t="inlineStr">
        <is>
          <t>Outros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C3F"/>
    <outlinePr summaryBelow="1" summaryRight="1"/>
    <pageSetUpPr/>
  </sheetPr>
  <dimension ref="A1:E242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8" customWidth="1" min="4" max="4"/>
    <col width="8" customWidth="1" min="5" max="5"/>
  </cols>
  <sheetData>
    <row r="1" ht="22" customHeight="1">
      <c r="B1" s="1" t="inlineStr">
        <is>
          <t>1. IDENTIFICAÇÃO DO PROJETO</t>
        </is>
      </c>
    </row>
    <row r="2"/>
    <row r="3">
      <c r="B3" s="2" t="inlineStr">
        <is>
          <t>Título do projeto:</t>
        </is>
      </c>
      <c r="C3" s="3" t="inlineStr"/>
    </row>
    <row r="4">
      <c r="B4" s="2" t="inlineStr">
        <is>
          <t>Produtor:</t>
        </is>
      </c>
      <c r="C4" s="3" t="inlineStr"/>
    </row>
    <row r="5">
      <c r="B5" s="2" t="inlineStr">
        <is>
          <t>Unidade de produção:</t>
        </is>
      </c>
      <c r="C5" s="3" t="inlineStr"/>
    </row>
    <row r="6">
      <c r="B6" s="2" t="inlineStr">
        <is>
          <t>Município:</t>
        </is>
      </c>
      <c r="C6" s="3" t="inlineStr"/>
    </row>
    <row r="7">
      <c r="B7" s="2" t="inlineStr">
        <is>
          <t>Data:</t>
        </is>
      </c>
      <c r="C7" s="3" t="inlineStr"/>
    </row>
    <row r="8"/>
    <row r="9">
      <c r="B9" s="2" t="inlineStr">
        <is>
          <t>Template (atividade):</t>
        </is>
      </c>
      <c r="C9" s="3" t="inlineStr">
        <is>
          <t>graos</t>
        </is>
      </c>
    </row>
    <row r="10">
      <c r="B10" s="2" t="inlineStr">
        <is>
          <t>Enquadramento fiscal:</t>
        </is>
      </c>
      <c r="C10" s="3" t="inlineStr">
        <is>
          <t>PF</t>
        </is>
      </c>
    </row>
    <row r="11"/>
    <row r="12" ht="22" customHeight="1">
      <c r="B12" s="1" t="inlineStr">
        <is>
          <t>CRÉDITO RURAL</t>
        </is>
      </c>
    </row>
    <row r="13">
      <c r="B13" s="2" t="inlineStr">
        <is>
          <t>Usa crédito?</t>
        </is>
      </c>
    </row>
    <row r="14">
      <c r="B14" s="2" t="inlineStr">
        <is>
          <t>Finalidade:</t>
        </is>
      </c>
    </row>
    <row r="15">
      <c r="B15" s="2" t="inlineStr">
        <is>
          <t>Enquadramento:</t>
        </is>
      </c>
    </row>
    <row r="16">
      <c r="B16" s="2" t="inlineStr">
        <is>
          <t>Documentos organizados?</t>
        </is>
      </c>
    </row>
    <row r="17">
      <c r="B17" s="2" t="inlineStr">
        <is>
          <t>Módulos fiscais:</t>
        </is>
      </c>
    </row>
    <row r="18">
      <c r="B18" s="2" t="inlineStr">
        <is>
          <t>Localização:</t>
        </is>
      </c>
    </row>
    <row r="19"/>
    <row r="20" ht="22" customHeight="1">
      <c r="B20" s="1" t="inlineStr">
        <is>
          <t>DIAGNÓSTICO ESTRATÉGICO (SWOT)</t>
        </is>
      </c>
    </row>
    <row r="21" ht="50" customHeight="1">
      <c r="B21" s="2" t="inlineStr">
        <is>
          <t>Forças:</t>
        </is>
      </c>
    </row>
    <row r="22" ht="50" customHeight="1">
      <c r="B22" s="2" t="inlineStr">
        <is>
          <t>Fraquezas:</t>
        </is>
      </c>
    </row>
    <row r="23" ht="50" customHeight="1">
      <c r="B23" s="2" t="inlineStr">
        <is>
          <t>Oportunidades:</t>
        </is>
      </c>
    </row>
    <row r="24" ht="50" customHeight="1">
      <c r="B24" s="2" t="inlineStr">
        <is>
          <t>Ameaças: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>
      <c r="C1313" s="3" t="inlineStr">
        <is>
          <t>nao</t>
        </is>
      </c>
    </row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>
      <c r="C1414" s="3" t="inlineStr"/>
    </row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>
      <c r="C1515" s="3" t="inlineStr"/>
    </row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>
      <c r="C1616" s="3" t="inlineStr">
        <is>
          <t>nao</t>
        </is>
      </c>
    </row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>
      <c r="C1717" s="3" t="inlineStr"/>
    </row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>
      <c r="C1818" s="3" t="inlineStr"/>
    </row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>
      <c r="C2121" s="4" t="inlineStr"/>
    </row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>
      <c r="C2222" s="4" t="inlineStr"/>
    </row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>
      <c r="C2323" s="4" t="inlineStr"/>
    </row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>
      <c r="C2424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12:E12"/>
    <mergeCell ref="B1:E1"/>
    <mergeCell ref="B20:E20"/>
  </mergeCells>
  <dataValidations count="6">
    <dataValidation sqref="C9" showDropDown="0" showInputMessage="0" showErrorMessage="0" allowBlank="0" error="Selecione um template válido" type="list">
      <formula1>=Ref!$A$2:$A$17</formula1>
    </dataValidation>
    <dataValidation sqref="C10" showDropDown="0" showInputMessage="0" showErrorMessage="0" allowBlank="0" type="list">
      <formula1>=Ref!$U$2:$U$3</formula1>
    </dataValidation>
    <dataValidation sqref="C1313" showDropDown="0" showInputMessage="0" showErrorMessage="0" allowBlank="1" type="list">
      <formula1>="sim,nao"</formula1>
    </dataValidation>
    <dataValidation sqref="C1414" showDropDown="0" showInputMessage="0" showErrorMessage="0" allowBlank="1" type="list">
      <formula1>="Custeio,Investimento,Comercialização,Industrialização"</formula1>
    </dataValidation>
    <dataValidation sqref="C1515" showDropDown="0" showInputMessage="0" showErrorMessage="0" allowBlank="1" type="list">
      <formula1>="Pronaf,Pronamp,Demais produtores"</formula1>
    </dataValidation>
    <dataValidation sqref="C1616" showDropDown="0" showInputMessage="0" showErrorMessage="0" allowBlank="1" type="list">
      <formula1>="sim,nao"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C3F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44" customWidth="1" min="3" max="3"/>
    <col width="13" customWidth="1" min="4" max="4"/>
    <col width="47" customWidth="1" min="5" max="5"/>
    <col width="8" customWidth="1" min="6" max="6"/>
  </cols>
  <sheetData>
    <row r="1" ht="22" customHeight="1">
      <c r="B1" s="1" t="inlineStr">
        <is>
          <t>2. PRODUÇÃO E RECEITA</t>
        </is>
      </c>
    </row>
    <row r="2"/>
    <row r="3">
      <c r="B3" s="2" t="inlineStr">
        <is>
          <t>Produto / Cultura:</t>
        </is>
      </c>
      <c r="C3" s="3" t="inlineStr"/>
    </row>
    <row r="4">
      <c r="B4" s="2" t="inlineStr">
        <is>
          <t>Unidades de produção:</t>
        </is>
      </c>
      <c r="C4" s="5" t="n">
        <v>0</v>
      </c>
      <c r="D4" s="2" t="inlineStr">
        <is>
          <t>Unidade:</t>
        </is>
      </c>
      <c r="E4" s="6">
        <f>VLOOKUP(template_val,Ref!$A$1:$K$17,3,FALSE)</f>
        <v/>
      </c>
    </row>
    <row r="5">
      <c r="B5" s="2" t="inlineStr">
        <is>
          <t>Produtividade:</t>
        </is>
      </c>
      <c r="C5" s="5" t="n">
        <v>0</v>
      </c>
      <c r="D5" s="2" t="inlineStr">
        <is>
          <t>Unidade:</t>
        </is>
      </c>
      <c r="E5" s="6">
        <f>VLOOKUP(template_val,Ref!$A$1:$K$17,6,FALSE)</f>
        <v/>
      </c>
    </row>
    <row r="6">
      <c r="B6" s="2" t="inlineStr">
        <is>
          <t>Preço:</t>
        </is>
      </c>
      <c r="C6" s="7" t="n">
        <v>0</v>
      </c>
      <c r="D6" s="2" t="inlineStr">
        <is>
          <t>Unidade:</t>
        </is>
      </c>
      <c r="E6" s="6">
        <f>VLOOKUP(template_val,Ref!$A$1:$K$17,7,FALSE)</f>
        <v/>
      </c>
    </row>
    <row r="7"/>
    <row r="8" ht="22" customHeight="1">
      <c r="B8" s="1" t="inlineStr">
        <is>
          <t>OUTRAS RECEITAS</t>
        </is>
      </c>
    </row>
    <row r="9">
      <c r="B9" s="2" t="inlineStr">
        <is>
          <t>Descrição:</t>
        </is>
      </c>
      <c r="C9" s="3" t="inlineStr"/>
      <c r="D9" s="2" t="inlineStr">
        <is>
          <t>Valor (R$):</t>
        </is>
      </c>
      <c r="E9" s="7" t="n">
        <v>0</v>
      </c>
    </row>
    <row r="10"/>
    <row r="11" ht="22" customHeight="1">
      <c r="B11" s="1" t="inlineStr">
        <is>
          <t>DEDUÇÕES DA RECEITA</t>
        </is>
      </c>
    </row>
    <row r="12">
      <c r="B12" s="2" t="inlineStr">
        <is>
          <t>Comercialização (%):</t>
        </is>
      </c>
      <c r="C12" s="8" t="n">
        <v>0</v>
      </c>
    </row>
    <row r="13">
      <c r="B13" s="2" t="inlineStr">
        <is>
          <t>Funrural (%):</t>
        </is>
      </c>
      <c r="C13" s="9">
        <f>VLOOKUP(fiscal_val,Ref!$U$1:$V$3,2,FALSE)</f>
        <v/>
      </c>
    </row>
    <row r="14"/>
    <row r="15">
      <c r="B15" s="10" t="inlineStr">
        <is>
          <t>RECEITA BRUTA (RB):</t>
        </is>
      </c>
      <c r="C15" s="11">
        <f>qtd_val*prod_val*preco_val+sec_valor_val</f>
        <v/>
      </c>
    </row>
    <row r="16">
      <c r="B16" s="12" t="inlineStr">
        <is>
          <t>(−) Comercialização:</t>
        </is>
      </c>
      <c r="C16" s="13">
        <f>rb_val*(comerc_pct/100)</f>
        <v/>
      </c>
    </row>
    <row r="17">
      <c r="B17" s="12" t="inlineStr">
        <is>
          <t>(−) Funrural:</t>
        </is>
      </c>
      <c r="C17" s="13">
        <f>rb_val*C13</f>
        <v/>
      </c>
    </row>
    <row r="18">
      <c r="B18" s="14" t="inlineStr">
        <is>
          <t>RECEITA LÍQUIDA (RL):</t>
        </is>
      </c>
      <c r="C18" s="15">
        <f>rb_val-comerc_rs-funrural_rs</f>
        <v/>
      </c>
    </row>
    <row r="19"/>
    <row r="20">
      <c r="B20" s="16" t="inlineStr">
        <is>
          <t>Fórmula: Qtd × Produtividade × Preço + Outras receitas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11:E11"/>
    <mergeCell ref="B8:E8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C3F"/>
    <outlinePr summaryBelow="1" summaryRight="1"/>
    <pageSetUpPr/>
  </sheetPr>
  <dimension ref="A1:E12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7" customWidth="1" min="3" max="3"/>
    <col width="8" customWidth="1" min="4" max="4"/>
    <col width="8" customWidth="1" min="5" max="5"/>
  </cols>
  <sheetData>
    <row r="1" ht="22" customHeight="1">
      <c r="B1" s="1" t="inlineStr">
        <is>
          <t>3. PRÁTICAS DE MANEJO</t>
        </is>
      </c>
    </row>
    <row r="2"/>
    <row r="3">
      <c r="B3" s="2" t="inlineStr">
        <is>
          <t>Modo de manejo:</t>
        </is>
      </c>
      <c r="C3" s="17">
        <f>VLOOKUP(template_val,Ref!$A$1:$K$17,9,FALSE)</f>
        <v/>
      </c>
    </row>
    <row r="4"/>
    <row r="5">
      <c r="B5" s="2" t="inlineStr">
        <is>
          <t>Sistema / Espécie / Categoria:</t>
        </is>
      </c>
    </row>
    <row r="6">
      <c r="B6" s="2" t="inlineStr">
        <is>
          <t>Variedade / Cultivar:</t>
        </is>
      </c>
    </row>
    <row r="7">
      <c r="B7" s="2" t="inlineStr">
        <is>
          <t>Mês de início / Plantio:</t>
        </is>
      </c>
    </row>
    <row r="8">
      <c r="B8" s="2" t="inlineStr">
        <is>
          <t>Mês de colheita / Final:</t>
        </is>
      </c>
    </row>
    <row r="9">
      <c r="B9" s="2" t="inlineStr">
        <is>
          <t>Adubação / Dieta / Ração:</t>
        </is>
      </c>
    </row>
    <row r="10">
      <c r="B10" s="2" t="inlineStr">
        <is>
          <t>Sanidade / Tratamentos:</t>
        </is>
      </c>
    </row>
    <row r="11">
      <c r="B11" s="2" t="inlineStr">
        <is>
          <t>Irrigação / Instalações:</t>
        </is>
      </c>
    </row>
    <row r="12">
      <c r="B12" s="2" t="inlineStr">
        <is>
          <t>Outras práticas:</t>
        </is>
      </c>
    </row>
    <row r="13"/>
    <row r="14" ht="60" customHeight="1">
      <c r="B14" s="2" t="inlineStr">
        <is>
          <t>Observações detalhadas:</t>
        </is>
      </c>
      <c r="C14" s="4" t="inlineStr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C55" s="3" t="inlineStr"/>
    </row>
    <row r="56"/>
    <row r="57"/>
    <row r="58"/>
    <row r="59"/>
    <row r="60"/>
    <row r="61"/>
    <row r="62"/>
    <row r="63"/>
    <row r="64"/>
    <row r="65"/>
    <row r="66">
      <c r="C66" s="3" t="inlineStr"/>
    </row>
    <row r="67"/>
    <row r="68"/>
    <row r="69"/>
    <row r="70"/>
    <row r="71"/>
    <row r="72"/>
    <row r="73"/>
    <row r="74"/>
    <row r="75"/>
    <row r="76"/>
    <row r="77">
      <c r="C77" s="3" t="inlineStr"/>
    </row>
    <row r="78"/>
    <row r="79"/>
    <row r="80"/>
    <row r="81"/>
    <row r="82"/>
    <row r="83"/>
    <row r="84"/>
    <row r="85"/>
    <row r="86"/>
    <row r="87"/>
    <row r="88">
      <c r="C88" s="3" t="inlineStr"/>
    </row>
    <row r="89"/>
    <row r="90"/>
    <row r="91"/>
    <row r="92"/>
    <row r="93"/>
    <row r="94"/>
    <row r="95"/>
    <row r="96"/>
    <row r="97"/>
    <row r="98"/>
    <row r="99">
      <c r="C99" s="3" t="inlineStr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>
      <c r="C1010" s="3" t="inlineStr"/>
    </row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>
      <c r="C1111" s="3" t="inlineStr"/>
    </row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>
      <c r="C1212" s="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C14:E16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C3F"/>
    <outlinePr summaryBelow="1" summaryRight="1"/>
    <pageSetUpPr/>
  </sheetPr>
  <dimension ref="A1:I292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1" customWidth="1" min="4" max="4"/>
    <col width="23" customWidth="1" min="5" max="5"/>
    <col width="8" customWidth="1" min="6" max="6"/>
    <col width="17" customWidth="1" min="7" max="7"/>
    <col width="33" customWidth="1" min="8" max="8"/>
    <col width="26" customWidth="1" min="9" max="9"/>
  </cols>
  <sheetData>
    <row r="1" ht="22" customHeight="1">
      <c r="B1" s="1" t="inlineStr">
        <is>
          <t>4. CUSTEIO (COE)</t>
        </is>
      </c>
    </row>
    <row r="2"/>
    <row r="3">
      <c r="B3" s="18" t="inlineStr">
        <is>
          <t>Nº</t>
        </is>
      </c>
      <c r="C3" s="18" t="inlineStr">
        <is>
          <t>Descrição</t>
        </is>
      </c>
      <c r="D3" s="18" t="inlineStr">
        <is>
          <t>Categoria</t>
        </is>
      </c>
      <c r="E3" s="18" t="inlineStr">
        <is>
          <t>Unidade</t>
        </is>
      </c>
      <c r="F3" s="18" t="inlineStr">
        <is>
          <t>Qtd/Un</t>
        </is>
      </c>
      <c r="G3" s="18" t="inlineStr">
        <is>
          <t>Preço Unit (R$)</t>
        </is>
      </c>
      <c r="H3" s="18" t="inlineStr">
        <is>
          <t>Custo/Un (R$)</t>
        </is>
      </c>
      <c r="I3" s="18" t="inlineStr">
        <is>
          <t>Custo Total (R$)</t>
        </is>
      </c>
    </row>
    <row r="4">
      <c r="B4" s="19" t="n">
        <v>1</v>
      </c>
      <c r="C4" s="3" t="n"/>
      <c r="D4" s="3" t="n"/>
      <c r="E4" s="3" t="n"/>
      <c r="F4" s="5" t="n">
        <v>0</v>
      </c>
      <c r="G4" s="7" t="n">
        <v>0</v>
      </c>
      <c r="H4" s="13">
        <f>IF(AND(F4&gt;0,G4&gt;0),F4*G4,0)</f>
        <v/>
      </c>
      <c r="I4" s="13">
        <f>IF(H4&gt;0,H4*qtd_val,0)</f>
        <v/>
      </c>
    </row>
    <row r="5">
      <c r="B5" s="19" t="n">
        <v>2</v>
      </c>
      <c r="C5" s="3" t="n"/>
      <c r="D5" s="3" t="n"/>
      <c r="E5" s="3" t="n"/>
      <c r="F5" s="5" t="n">
        <v>0</v>
      </c>
      <c r="G5" s="7" t="n">
        <v>0</v>
      </c>
      <c r="H5" s="13">
        <f>IF(AND(F5&gt;0,G5&gt;0),F5*G5,0)</f>
        <v/>
      </c>
      <c r="I5" s="13">
        <f>IF(H5&gt;0,H5*qtd_val,0)</f>
        <v/>
      </c>
    </row>
    <row r="6">
      <c r="B6" s="19" t="n">
        <v>3</v>
      </c>
      <c r="C6" s="3" t="n"/>
      <c r="D6" s="3" t="n"/>
      <c r="E6" s="3" t="n"/>
      <c r="F6" s="5" t="n">
        <v>0</v>
      </c>
      <c r="G6" s="7" t="n">
        <v>0</v>
      </c>
      <c r="H6" s="13">
        <f>IF(AND(F6&gt;0,G6&gt;0),F6*G6,0)</f>
        <v/>
      </c>
      <c r="I6" s="13">
        <f>IF(H6&gt;0,H6*qtd_val,0)</f>
        <v/>
      </c>
    </row>
    <row r="7">
      <c r="B7" s="19" t="n">
        <v>4</v>
      </c>
      <c r="C7" s="3" t="n"/>
      <c r="D7" s="3" t="n"/>
      <c r="E7" s="3" t="n"/>
      <c r="F7" s="5" t="n">
        <v>0</v>
      </c>
      <c r="G7" s="7" t="n">
        <v>0</v>
      </c>
      <c r="H7" s="13">
        <f>IF(AND(F7&gt;0,G7&gt;0),F7*G7,0)</f>
        <v/>
      </c>
      <c r="I7" s="13">
        <f>IF(H7&gt;0,H7*qtd_val,0)</f>
        <v/>
      </c>
    </row>
    <row r="8">
      <c r="B8" s="19" t="n">
        <v>5</v>
      </c>
      <c r="C8" s="3" t="n"/>
      <c r="D8" s="3" t="n"/>
      <c r="E8" s="3" t="n"/>
      <c r="F8" s="5" t="n">
        <v>0</v>
      </c>
      <c r="G8" s="7" t="n">
        <v>0</v>
      </c>
      <c r="H8" s="13">
        <f>IF(AND(F8&gt;0,G8&gt;0),F8*G8,0)</f>
        <v/>
      </c>
      <c r="I8" s="13">
        <f>IF(H8&gt;0,H8*qtd_val,0)</f>
        <v/>
      </c>
    </row>
    <row r="9">
      <c r="B9" s="19" t="n">
        <v>6</v>
      </c>
      <c r="C9" s="3" t="n"/>
      <c r="D9" s="3" t="n"/>
      <c r="E9" s="3" t="n"/>
      <c r="F9" s="5" t="n">
        <v>0</v>
      </c>
      <c r="G9" s="7" t="n">
        <v>0</v>
      </c>
      <c r="H9" s="13">
        <f>IF(AND(F9&gt;0,G9&gt;0),F9*G9,0)</f>
        <v/>
      </c>
      <c r="I9" s="13">
        <f>IF(H9&gt;0,H9*qtd_val,0)</f>
        <v/>
      </c>
    </row>
    <row r="10">
      <c r="B10" s="19" t="n">
        <v>7</v>
      </c>
      <c r="C10" s="3" t="n"/>
      <c r="D10" s="3" t="n"/>
      <c r="E10" s="3" t="n"/>
      <c r="F10" s="5" t="n">
        <v>0</v>
      </c>
      <c r="G10" s="7" t="n">
        <v>0</v>
      </c>
      <c r="H10" s="13">
        <f>IF(AND(F10&gt;0,G10&gt;0),F10*G10,0)</f>
        <v/>
      </c>
      <c r="I10" s="13">
        <f>IF(H10&gt;0,H10*qtd_val,0)</f>
        <v/>
      </c>
    </row>
    <row r="11">
      <c r="B11" s="19" t="n">
        <v>8</v>
      </c>
      <c r="C11" s="3" t="n"/>
      <c r="D11" s="3" t="n"/>
      <c r="E11" s="3" t="n"/>
      <c r="F11" s="5" t="n">
        <v>0</v>
      </c>
      <c r="G11" s="7" t="n">
        <v>0</v>
      </c>
      <c r="H11" s="13">
        <f>IF(AND(F11&gt;0,G11&gt;0),F11*G11,0)</f>
        <v/>
      </c>
      <c r="I11" s="13">
        <f>IF(H11&gt;0,H11*qtd_val,0)</f>
        <v/>
      </c>
    </row>
    <row r="12">
      <c r="B12" s="19" t="n">
        <v>9</v>
      </c>
      <c r="C12" s="3" t="n"/>
      <c r="D12" s="3" t="n"/>
      <c r="E12" s="3" t="n"/>
      <c r="F12" s="5" t="n">
        <v>0</v>
      </c>
      <c r="G12" s="7" t="n">
        <v>0</v>
      </c>
      <c r="H12" s="13">
        <f>IF(AND(F12&gt;0,G12&gt;0),F12*G12,0)</f>
        <v/>
      </c>
      <c r="I12" s="13">
        <f>IF(H12&gt;0,H12*qtd_val,0)</f>
        <v/>
      </c>
    </row>
    <row r="13">
      <c r="B13" s="19" t="n">
        <v>10</v>
      </c>
      <c r="C13" s="3" t="n"/>
      <c r="D13" s="3" t="n"/>
      <c r="E13" s="3" t="n"/>
      <c r="F13" s="5" t="n">
        <v>0</v>
      </c>
      <c r="G13" s="7" t="n">
        <v>0</v>
      </c>
      <c r="H13" s="13">
        <f>IF(AND(F13&gt;0,G13&gt;0),F13*G13,0)</f>
        <v/>
      </c>
      <c r="I13" s="13">
        <f>IF(H13&gt;0,H13*qtd_val,0)</f>
        <v/>
      </c>
    </row>
    <row r="14">
      <c r="B14" s="19" t="n">
        <v>11</v>
      </c>
      <c r="C14" s="3" t="n"/>
      <c r="D14" s="3" t="n"/>
      <c r="E14" s="3" t="n"/>
      <c r="F14" s="5" t="n">
        <v>0</v>
      </c>
      <c r="G14" s="7" t="n">
        <v>0</v>
      </c>
      <c r="H14" s="13">
        <f>IF(AND(F14&gt;0,G14&gt;0),F14*G14,0)</f>
        <v/>
      </c>
      <c r="I14" s="13">
        <f>IF(H14&gt;0,H14*qtd_val,0)</f>
        <v/>
      </c>
    </row>
    <row r="15">
      <c r="B15" s="19" t="n">
        <v>12</v>
      </c>
      <c r="C15" s="3" t="n"/>
      <c r="D15" s="3" t="n"/>
      <c r="E15" s="3" t="n"/>
      <c r="F15" s="5" t="n">
        <v>0</v>
      </c>
      <c r="G15" s="7" t="n">
        <v>0</v>
      </c>
      <c r="H15" s="13">
        <f>IF(AND(F15&gt;0,G15&gt;0),F15*G15,0)</f>
        <v/>
      </c>
      <c r="I15" s="13">
        <f>IF(H15&gt;0,H15*qtd_val,0)</f>
        <v/>
      </c>
    </row>
    <row r="16">
      <c r="B16" s="19" t="n">
        <v>13</v>
      </c>
      <c r="C16" s="3" t="n"/>
      <c r="D16" s="3" t="n"/>
      <c r="E16" s="3" t="n"/>
      <c r="F16" s="5" t="n">
        <v>0</v>
      </c>
      <c r="G16" s="7" t="n">
        <v>0</v>
      </c>
      <c r="H16" s="13">
        <f>IF(AND(F16&gt;0,G16&gt;0),F16*G16,0)</f>
        <v/>
      </c>
      <c r="I16" s="13">
        <f>IF(H16&gt;0,H16*qtd_val,0)</f>
        <v/>
      </c>
    </row>
    <row r="17">
      <c r="B17" s="19" t="n">
        <v>14</v>
      </c>
      <c r="C17" s="3" t="n"/>
      <c r="D17" s="3" t="n"/>
      <c r="E17" s="3" t="n"/>
      <c r="F17" s="5" t="n">
        <v>0</v>
      </c>
      <c r="G17" s="7" t="n">
        <v>0</v>
      </c>
      <c r="H17" s="13">
        <f>IF(AND(F17&gt;0,G17&gt;0),F17*G17,0)</f>
        <v/>
      </c>
      <c r="I17" s="13">
        <f>IF(H17&gt;0,H17*qtd_val,0)</f>
        <v/>
      </c>
    </row>
    <row r="18">
      <c r="B18" s="19" t="n">
        <v>15</v>
      </c>
      <c r="C18" s="3" t="n"/>
      <c r="D18" s="3" t="n"/>
      <c r="E18" s="3" t="n"/>
      <c r="F18" s="5" t="n">
        <v>0</v>
      </c>
      <c r="G18" s="7" t="n">
        <v>0</v>
      </c>
      <c r="H18" s="13">
        <f>IF(AND(F18&gt;0,G18&gt;0),F18*G18,0)</f>
        <v/>
      </c>
      <c r="I18" s="13">
        <f>IF(H18&gt;0,H18*qtd_val,0)</f>
        <v/>
      </c>
    </row>
    <row r="19">
      <c r="B19" s="19" t="n">
        <v>16</v>
      </c>
      <c r="C19" s="3" t="n"/>
      <c r="D19" s="3" t="n"/>
      <c r="E19" s="3" t="n"/>
      <c r="F19" s="5" t="n">
        <v>0</v>
      </c>
      <c r="G19" s="7" t="n">
        <v>0</v>
      </c>
      <c r="H19" s="13">
        <f>IF(AND(F19&gt;0,G19&gt;0),F19*G19,0)</f>
        <v/>
      </c>
      <c r="I19" s="13">
        <f>IF(H19&gt;0,H19*qtd_val,0)</f>
        <v/>
      </c>
    </row>
    <row r="20">
      <c r="B20" s="19" t="n">
        <v>17</v>
      </c>
      <c r="C20" s="3" t="n"/>
      <c r="D20" s="3" t="n"/>
      <c r="E20" s="3" t="n"/>
      <c r="F20" s="5" t="n">
        <v>0</v>
      </c>
      <c r="G20" s="7" t="n">
        <v>0</v>
      </c>
      <c r="H20" s="13">
        <f>IF(AND(F20&gt;0,G20&gt;0),F20*G20,0)</f>
        <v/>
      </c>
      <c r="I20" s="13">
        <f>IF(H20&gt;0,H20*qtd_val,0)</f>
        <v/>
      </c>
    </row>
    <row r="21">
      <c r="B21" s="19" t="n">
        <v>18</v>
      </c>
      <c r="C21" s="3" t="n"/>
      <c r="D21" s="3" t="n"/>
      <c r="E21" s="3" t="n"/>
      <c r="F21" s="5" t="n">
        <v>0</v>
      </c>
      <c r="G21" s="7" t="n">
        <v>0</v>
      </c>
      <c r="H21" s="13">
        <f>IF(AND(F21&gt;0,G21&gt;0),F21*G21,0)</f>
        <v/>
      </c>
      <c r="I21" s="13">
        <f>IF(H21&gt;0,H21*qtd_val,0)</f>
        <v/>
      </c>
    </row>
    <row r="22">
      <c r="B22" s="19" t="n">
        <v>19</v>
      </c>
      <c r="C22" s="3" t="n"/>
      <c r="D22" s="3" t="n"/>
      <c r="E22" s="3" t="n"/>
      <c r="F22" s="5" t="n">
        <v>0</v>
      </c>
      <c r="G22" s="7" t="n">
        <v>0</v>
      </c>
      <c r="H22" s="13">
        <f>IF(AND(F22&gt;0,G22&gt;0),F22*G22,0)</f>
        <v/>
      </c>
      <c r="I22" s="13">
        <f>IF(H22&gt;0,H22*qtd_val,0)</f>
        <v/>
      </c>
    </row>
    <row r="23">
      <c r="B23" s="19" t="n">
        <v>20</v>
      </c>
      <c r="C23" s="3" t="n"/>
      <c r="D23" s="3" t="n"/>
      <c r="E23" s="3" t="n"/>
      <c r="F23" s="5" t="n">
        <v>0</v>
      </c>
      <c r="G23" s="7" t="n">
        <v>0</v>
      </c>
      <c r="H23" s="13">
        <f>IF(AND(F23&gt;0,G23&gt;0),F23*G23,0)</f>
        <v/>
      </c>
      <c r="I23" s="13">
        <f>IF(H23&gt;0,H23*qtd_val,0)</f>
        <v/>
      </c>
    </row>
    <row r="24"/>
    <row r="25">
      <c r="B25" s="10" t="inlineStr">
        <is>
          <t>Subtotal dos itens diretos:</t>
        </is>
      </c>
      <c r="H25" s="11">
        <f>SUM(I4:I23)</f>
        <v/>
      </c>
    </row>
    <row r="26"/>
    <row r="27">
      <c r="B27" s="2" t="inlineStr">
        <is>
          <t>Seguro (%):</t>
        </is>
      </c>
      <c r="E27" s="13">
        <f>H25*(seguro_pct/100)</f>
        <v/>
      </c>
    </row>
    <row r="28">
      <c r="B28" s="2" t="inlineStr">
        <is>
          <t>Assistência Técnica (%):</t>
        </is>
      </c>
      <c r="E28" s="13">
        <f>H25*(ater_pct/100)</f>
        <v/>
      </c>
    </row>
    <row r="29">
      <c r="B29" s="2" t="inlineStr">
        <is>
          <t>Juros de custeio (%):</t>
        </is>
      </c>
      <c r="E29" s="13">
        <f>H25*(juros_pct/100)</f>
        <v/>
      </c>
    </row>
    <row r="30"/>
    <row r="31">
      <c r="B31" s="14" t="inlineStr">
        <is>
          <t>COE TOTAL:</t>
        </is>
      </c>
      <c r="H31" s="15">
        <f>H25+E27+E28+E29</f>
        <v/>
      </c>
    </row>
    <row r="32"/>
    <row r="33">
      <c r="B33" s="16" t="inlineStr">
        <is>
          <t>Preencha apenas as colunas em AMARELO. As demais calculam automaticamente.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>
      <c r="C2727" s="8" t="n">
        <v>0</v>
      </c>
    </row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>
      <c r="C2828" s="8" t="n">
        <v>0</v>
      </c>
    </row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>
      <c r="C2929" s="8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1:I1"/>
  </mergeCells>
  <dataValidations count="20">
    <dataValidation sqref="D4" showDropDown="0" showInputMessage="0" showErrorMessage="0" allowBlank="1" type="list">
      <formula1>=Ref!$X$2:$X$30</formula1>
    </dataValidation>
    <dataValidation sqref="D5" showDropDown="0" showInputMessage="0" showErrorMessage="0" allowBlank="1" type="list">
      <formula1>=Ref!$X$2:$X$30</formula1>
    </dataValidation>
    <dataValidation sqref="D6" showDropDown="0" showInputMessage="0" showErrorMessage="0" allowBlank="1" type="list">
      <formula1>=Ref!$X$2:$X$30</formula1>
    </dataValidation>
    <dataValidation sqref="D7" showDropDown="0" showInputMessage="0" showErrorMessage="0" allowBlank="1" type="list">
      <formula1>=Ref!$X$2:$X$30</formula1>
    </dataValidation>
    <dataValidation sqref="D8" showDropDown="0" showInputMessage="0" showErrorMessage="0" allowBlank="1" type="list">
      <formula1>=Ref!$X$2:$X$30</formula1>
    </dataValidation>
    <dataValidation sqref="D9" showDropDown="0" showInputMessage="0" showErrorMessage="0" allowBlank="1" type="list">
      <formula1>=Ref!$X$2:$X$30</formula1>
    </dataValidation>
    <dataValidation sqref="D10" showDropDown="0" showInputMessage="0" showErrorMessage="0" allowBlank="1" type="list">
      <formula1>=Ref!$X$2:$X$30</formula1>
    </dataValidation>
    <dataValidation sqref="D11" showDropDown="0" showInputMessage="0" showErrorMessage="0" allowBlank="1" type="list">
      <formula1>=Ref!$X$2:$X$30</formula1>
    </dataValidation>
    <dataValidation sqref="D12" showDropDown="0" showInputMessage="0" showErrorMessage="0" allowBlank="1" type="list">
      <formula1>=Ref!$X$2:$X$30</formula1>
    </dataValidation>
    <dataValidation sqref="D13" showDropDown="0" showInputMessage="0" showErrorMessage="0" allowBlank="1" type="list">
      <formula1>=Ref!$X$2:$X$30</formula1>
    </dataValidation>
    <dataValidation sqref="D14" showDropDown="0" showInputMessage="0" showErrorMessage="0" allowBlank="1" type="list">
      <formula1>=Ref!$X$2:$X$30</formula1>
    </dataValidation>
    <dataValidation sqref="D15" showDropDown="0" showInputMessage="0" showErrorMessage="0" allowBlank="1" type="list">
      <formula1>=Ref!$X$2:$X$30</formula1>
    </dataValidation>
    <dataValidation sqref="D16" showDropDown="0" showInputMessage="0" showErrorMessage="0" allowBlank="1" type="list">
      <formula1>=Ref!$X$2:$X$30</formula1>
    </dataValidation>
    <dataValidation sqref="D17" showDropDown="0" showInputMessage="0" showErrorMessage="0" allowBlank="1" type="list">
      <formula1>=Ref!$X$2:$X$30</formula1>
    </dataValidation>
    <dataValidation sqref="D18" showDropDown="0" showInputMessage="0" showErrorMessage="0" allowBlank="1" type="list">
      <formula1>=Ref!$X$2:$X$30</formula1>
    </dataValidation>
    <dataValidation sqref="D19" showDropDown="0" showInputMessage="0" showErrorMessage="0" allowBlank="1" type="list">
      <formula1>=Ref!$X$2:$X$30</formula1>
    </dataValidation>
    <dataValidation sqref="D20" showDropDown="0" showInputMessage="0" showErrorMessage="0" allowBlank="1" type="list">
      <formula1>=Ref!$X$2:$X$30</formula1>
    </dataValidation>
    <dataValidation sqref="D21" showDropDown="0" showInputMessage="0" showErrorMessage="0" allowBlank="1" type="list">
      <formula1>=Ref!$X$2:$X$30</formula1>
    </dataValidation>
    <dataValidation sqref="D22" showDropDown="0" showInputMessage="0" showErrorMessage="0" allowBlank="1" type="list">
      <formula1>=Ref!$X$2:$X$30</formula1>
    </dataValidation>
    <dataValidation sqref="D23" showDropDown="0" showInputMessage="0" showErrorMessage="0" allowBlank="1" type="list">
      <formula1>=Ref!$X$2:$X$30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9233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5" customWidth="1" min="3" max="3"/>
    <col width="9" customWidth="1" min="4" max="4"/>
    <col width="8" customWidth="1" min="5" max="5"/>
    <col width="17" customWidth="1" min="6" max="6"/>
    <col width="45" customWidth="1" min="7" max="7"/>
    <col width="8" customWidth="1" min="8" max="8"/>
  </cols>
  <sheetData>
    <row r="1" ht="22" customHeight="1">
      <c r="B1" s="1" t="inlineStr">
        <is>
          <t>5. IMPLANTAÇÃO (CULTURAS PERENES)</t>
        </is>
      </c>
    </row>
    <row r="2"/>
    <row r="3">
      <c r="B3" s="2" t="inlineStr">
        <is>
          <t>É cultura perene?</t>
        </is>
      </c>
      <c r="C3" s="17">
        <f>IF(VLOOKUP(template_val,Ref!$A$1:$K$17,10,FALSE)=1,"SIM — Preencha esta aba","NÃO — Opcional")</f>
        <v/>
      </c>
    </row>
    <row r="4"/>
    <row r="5">
      <c r="B5" s="2" t="inlineStr">
        <is>
          <t>Cultura perene:</t>
        </is>
      </c>
      <c r="C5" s="3" t="inlineStr">
        <is>
          <t>uva</t>
        </is>
      </c>
    </row>
    <row r="6">
      <c r="B6" s="2" t="inlineStr">
        <is>
          <t>Anos de formação:</t>
        </is>
      </c>
      <c r="C6" s="20" t="n">
        <v>0</v>
      </c>
    </row>
    <row r="7">
      <c r="B7" s="2" t="inlineStr">
        <is>
          <t>Vida útil produtiva (anos):</t>
        </is>
      </c>
      <c r="C7" s="20" t="n">
        <v>0</v>
      </c>
    </row>
    <row r="8"/>
    <row r="9" ht="22" customHeight="1">
      <c r="B9" s="1" t="inlineStr">
        <is>
          <t>ITENS DE IMPLANTAÇÃO (por ha)</t>
        </is>
      </c>
    </row>
    <row r="10">
      <c r="B10" s="18" t="inlineStr">
        <is>
          <t>Nº</t>
        </is>
      </c>
      <c r="C10" s="18" t="inlineStr">
        <is>
          <t>Descrição</t>
        </is>
      </c>
      <c r="D10" s="18" t="inlineStr">
        <is>
          <t>Unidade</t>
        </is>
      </c>
      <c r="E10" s="18" t="inlineStr">
        <is>
          <t>Qtd/ha</t>
        </is>
      </c>
      <c r="F10" s="18" t="inlineStr">
        <is>
          <t>Preço Unit (R$)</t>
        </is>
      </c>
      <c r="G10" s="18" t="inlineStr">
        <is>
          <t>Custo/ha (R$)</t>
        </is>
      </c>
    </row>
    <row r="11">
      <c r="B11" s="19" t="n">
        <v>1</v>
      </c>
      <c r="C11" s="3" t="n"/>
      <c r="D11" s="3" t="n"/>
      <c r="E11" s="5" t="n">
        <v>0</v>
      </c>
      <c r="F11" s="7" t="n">
        <v>0</v>
      </c>
      <c r="G11" s="13">
        <f>IF(AND(E11&gt;0,F11&gt;0),E11*F11,0)</f>
        <v/>
      </c>
    </row>
    <row r="12">
      <c r="B12" s="19" t="n">
        <v>2</v>
      </c>
      <c r="C12" s="3" t="n"/>
      <c r="D12" s="3" t="n"/>
      <c r="E12" s="5" t="n">
        <v>0</v>
      </c>
      <c r="F12" s="7" t="n">
        <v>0</v>
      </c>
      <c r="G12" s="13">
        <f>IF(AND(E12&gt;0,F12&gt;0),E12*F12,0)</f>
        <v/>
      </c>
    </row>
    <row r="13">
      <c r="B13" s="19" t="n">
        <v>3</v>
      </c>
      <c r="C13" s="3" t="n"/>
      <c r="D13" s="3" t="n"/>
      <c r="E13" s="5" t="n">
        <v>0</v>
      </c>
      <c r="F13" s="7" t="n">
        <v>0</v>
      </c>
      <c r="G13" s="13">
        <f>IF(AND(E13&gt;0,F13&gt;0),E13*F13,0)</f>
        <v/>
      </c>
    </row>
    <row r="14">
      <c r="B14" s="19" t="n">
        <v>4</v>
      </c>
      <c r="C14" s="3" t="n"/>
      <c r="D14" s="3" t="n"/>
      <c r="E14" s="5" t="n">
        <v>0</v>
      </c>
      <c r="F14" s="7" t="n">
        <v>0</v>
      </c>
      <c r="G14" s="13">
        <f>IF(AND(E14&gt;0,F14&gt;0),E14*F14,0)</f>
        <v/>
      </c>
    </row>
    <row r="15">
      <c r="B15" s="19" t="n">
        <v>5</v>
      </c>
      <c r="C15" s="3" t="n"/>
      <c r="D15" s="3" t="n"/>
      <c r="E15" s="5" t="n">
        <v>0</v>
      </c>
      <c r="F15" s="7" t="n">
        <v>0</v>
      </c>
      <c r="G15" s="13">
        <f>IF(AND(E15&gt;0,F15&gt;0),E15*F15,0)</f>
        <v/>
      </c>
    </row>
    <row r="16">
      <c r="B16" s="19" t="n">
        <v>6</v>
      </c>
      <c r="C16" s="3" t="n"/>
      <c r="D16" s="3" t="n"/>
      <c r="E16" s="5" t="n">
        <v>0</v>
      </c>
      <c r="F16" s="7" t="n">
        <v>0</v>
      </c>
      <c r="G16" s="13">
        <f>IF(AND(E16&gt;0,F16&gt;0),E16*F16,0)</f>
        <v/>
      </c>
    </row>
    <row r="17">
      <c r="B17" s="19" t="n">
        <v>7</v>
      </c>
      <c r="C17" s="3" t="n"/>
      <c r="D17" s="3" t="n"/>
      <c r="E17" s="5" t="n">
        <v>0</v>
      </c>
      <c r="F17" s="7" t="n">
        <v>0</v>
      </c>
      <c r="G17" s="13">
        <f>IF(AND(E17&gt;0,F17&gt;0),E17*F17,0)</f>
        <v/>
      </c>
    </row>
    <row r="18">
      <c r="B18" s="19" t="n">
        <v>8</v>
      </c>
      <c r="C18" s="3" t="n"/>
      <c r="D18" s="3" t="n"/>
      <c r="E18" s="5" t="n">
        <v>0</v>
      </c>
      <c r="F18" s="7" t="n">
        <v>0</v>
      </c>
      <c r="G18" s="13">
        <f>IF(AND(E18&gt;0,F18&gt;0),E18*F18,0)</f>
        <v/>
      </c>
    </row>
    <row r="19">
      <c r="B19" s="19" t="n">
        <v>9</v>
      </c>
      <c r="C19" s="3" t="n"/>
      <c r="D19" s="3" t="n"/>
      <c r="E19" s="5" t="n">
        <v>0</v>
      </c>
      <c r="F19" s="7" t="n">
        <v>0</v>
      </c>
      <c r="G19" s="13">
        <f>IF(AND(E19&gt;0,F19&gt;0),E19*F19,0)</f>
        <v/>
      </c>
    </row>
    <row r="20">
      <c r="B20" s="19" t="n">
        <v>10</v>
      </c>
      <c r="C20" s="3" t="n"/>
      <c r="D20" s="3" t="n"/>
      <c r="E20" s="5" t="n">
        <v>0</v>
      </c>
      <c r="F20" s="7" t="n">
        <v>0</v>
      </c>
      <c r="G20" s="13">
        <f>IF(AND(E20&gt;0,F20&gt;0),E20*F20,0)</f>
        <v/>
      </c>
    </row>
    <row r="21">
      <c r="B21" s="19" t="n">
        <v>11</v>
      </c>
      <c r="C21" s="3" t="n"/>
      <c r="D21" s="3" t="n"/>
      <c r="E21" s="5" t="n">
        <v>0</v>
      </c>
      <c r="F21" s="7" t="n">
        <v>0</v>
      </c>
      <c r="G21" s="13">
        <f>IF(AND(E21&gt;0,F21&gt;0),E21*F21,0)</f>
        <v/>
      </c>
    </row>
    <row r="22">
      <c r="B22" s="19" t="n">
        <v>12</v>
      </c>
      <c r="C22" s="3" t="n"/>
      <c r="D22" s="3" t="n"/>
      <c r="E22" s="5" t="n">
        <v>0</v>
      </c>
      <c r="F22" s="7" t="n">
        <v>0</v>
      </c>
      <c r="G22" s="13">
        <f>IF(AND(E22&gt;0,F22&gt;0),E22*F22,0)</f>
        <v/>
      </c>
    </row>
    <row r="23">
      <c r="B23" s="19" t="n">
        <v>13</v>
      </c>
      <c r="C23" s="3" t="n"/>
      <c r="D23" s="3" t="n"/>
      <c r="E23" s="5" t="n">
        <v>0</v>
      </c>
      <c r="F23" s="7" t="n">
        <v>0</v>
      </c>
      <c r="G23" s="13">
        <f>IF(AND(E23&gt;0,F23&gt;0),E23*F23,0)</f>
        <v/>
      </c>
    </row>
    <row r="24">
      <c r="B24" s="19" t="n">
        <v>14</v>
      </c>
      <c r="C24" s="3" t="n"/>
      <c r="D24" s="3" t="n"/>
      <c r="E24" s="5" t="n">
        <v>0</v>
      </c>
      <c r="F24" s="7" t="n">
        <v>0</v>
      </c>
      <c r="G24" s="13">
        <f>IF(AND(E24&gt;0,F24&gt;0),E24*F24,0)</f>
        <v/>
      </c>
    </row>
    <row r="25">
      <c r="B25" s="19" t="n">
        <v>15</v>
      </c>
      <c r="C25" s="3" t="n"/>
      <c r="D25" s="3" t="n"/>
      <c r="E25" s="5" t="n">
        <v>0</v>
      </c>
      <c r="F25" s="7" t="n">
        <v>0</v>
      </c>
      <c r="G25" s="13">
        <f>IF(AND(E25&gt;0,F25&gt;0),E25*F25,0)</f>
        <v/>
      </c>
    </row>
    <row r="26"/>
    <row r="27">
      <c r="B27" s="10" t="inlineStr">
        <is>
          <t>Investimento por ha:</t>
        </is>
      </c>
      <c r="G27" s="11">
        <f>SUM(G11:G25)</f>
        <v/>
      </c>
    </row>
    <row r="28">
      <c r="B28" s="2" t="inlineStr">
        <is>
          <t>Área implantada (ha):</t>
        </is>
      </c>
      <c r="G28" s="21">
        <f>qtd_val</f>
        <v/>
      </c>
    </row>
    <row r="29">
      <c r="B29" s="14" t="inlineStr">
        <is>
          <t>INVESTIMENTO TOTAL (ano 0):</t>
        </is>
      </c>
      <c r="G29" s="15">
        <f>G27*G28</f>
        <v/>
      </c>
    </row>
    <row r="30"/>
    <row r="31">
      <c r="B31" s="12" t="inlineStr">
        <is>
          <t>Depreciação anual da formação (automática):</t>
        </is>
      </c>
      <c r="G31" s="22">
        <f>IF(AND(G28&gt;0,vida_util&gt;0),G29/vida_util,0)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B1:H1"/>
    <mergeCell ref="B9:G9"/>
  </mergeCells>
  <dataValidations count="1">
    <dataValidation sqref="C5" showDropDown="0" showInputMessage="0" showErrorMessage="0" allowBlank="1" type="list">
      <formula1>=Ref!$P$2:$P$9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C3F"/>
    <outlinePr summaryBelow="1" summaryRight="1"/>
    <pageSetUpPr/>
  </sheetPr>
  <dimension ref="A1:H282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11" customWidth="1" min="3" max="3"/>
    <col width="16" customWidth="1" min="4" max="4"/>
    <col width="25" customWidth="1" min="5" max="5"/>
    <col width="18" customWidth="1" min="6" max="6"/>
    <col width="55" customWidth="1" min="7" max="7"/>
    <col width="26" customWidth="1" min="8" max="8"/>
  </cols>
  <sheetData>
    <row r="1" ht="22" customHeight="1">
      <c r="B1" s="1" t="inlineStr">
        <is>
          <t>6. CUSTOS FIXOS E REMUNERAÇÃO DOS FATORES</t>
        </is>
      </c>
    </row>
    <row r="2"/>
    <row r="3" ht="22" customHeight="1">
      <c r="B3" s="1" t="inlineStr">
        <is>
          <t>DEPRECIAÇÃO (BENS DE CAPITAL)</t>
        </is>
      </c>
    </row>
    <row r="4">
      <c r="B4" s="18" t="inlineStr">
        <is>
          <t>Nº</t>
        </is>
      </c>
      <c r="C4" s="18" t="inlineStr">
        <is>
          <t>Descrição</t>
        </is>
      </c>
      <c r="D4" s="18" t="inlineStr">
        <is>
          <t>Aquisição (R$)</t>
        </is>
      </c>
      <c r="E4" s="18" t="inlineStr">
        <is>
          <t>Residual (R$)</t>
        </is>
      </c>
      <c r="F4" s="18" t="inlineStr">
        <is>
          <t>Vida útil (anos)</t>
        </is>
      </c>
      <c r="G4" s="18" t="inlineStr">
        <is>
          <t>Depreciação anual (R$)</t>
        </is>
      </c>
      <c r="H4" s="18" t="inlineStr">
        <is>
          <t>Capital médio (R$)</t>
        </is>
      </c>
    </row>
    <row r="5">
      <c r="B5" s="19" t="n">
        <v>1</v>
      </c>
      <c r="C5" s="3" t="n"/>
      <c r="D5" s="7" t="n">
        <v>0</v>
      </c>
      <c r="E5" s="7" t="n">
        <v>0</v>
      </c>
      <c r="F5" s="20" t="n">
        <v>0</v>
      </c>
      <c r="G5" s="13">
        <f>IF(AND(D5&gt;0,F5&gt;0),MAX(0,(D5-E5)/F5),0)</f>
        <v/>
      </c>
      <c r="H5" s="13">
        <f>IF(D5&gt;0,(D5+E5)/2,0)</f>
        <v/>
      </c>
    </row>
    <row r="6">
      <c r="B6" s="19" t="n">
        <v>2</v>
      </c>
      <c r="C6" s="3" t="n"/>
      <c r="D6" s="7" t="n">
        <v>0</v>
      </c>
      <c r="E6" s="7" t="n">
        <v>0</v>
      </c>
      <c r="F6" s="20" t="n">
        <v>0</v>
      </c>
      <c r="G6" s="13">
        <f>IF(AND(D6&gt;0,F6&gt;0),MAX(0,(D6-E6)/F6),0)</f>
        <v/>
      </c>
      <c r="H6" s="13">
        <f>IF(D6&gt;0,(D6+E6)/2,0)</f>
        <v/>
      </c>
    </row>
    <row r="7">
      <c r="B7" s="19" t="n">
        <v>3</v>
      </c>
      <c r="C7" s="3" t="n"/>
      <c r="D7" s="7" t="n">
        <v>0</v>
      </c>
      <c r="E7" s="7" t="n">
        <v>0</v>
      </c>
      <c r="F7" s="20" t="n">
        <v>0</v>
      </c>
      <c r="G7" s="13">
        <f>IF(AND(D7&gt;0,F7&gt;0),MAX(0,(D7-E7)/F7),0)</f>
        <v/>
      </c>
      <c r="H7" s="13">
        <f>IF(D7&gt;0,(D7+E7)/2,0)</f>
        <v/>
      </c>
    </row>
    <row r="8">
      <c r="B8" s="19" t="n">
        <v>4</v>
      </c>
      <c r="C8" s="3" t="n"/>
      <c r="D8" s="7" t="n">
        <v>0</v>
      </c>
      <c r="E8" s="7" t="n">
        <v>0</v>
      </c>
      <c r="F8" s="20" t="n">
        <v>0</v>
      </c>
      <c r="G8" s="13">
        <f>IF(AND(D8&gt;0,F8&gt;0),MAX(0,(D8-E8)/F8),0)</f>
        <v/>
      </c>
      <c r="H8" s="13">
        <f>IF(D8&gt;0,(D8+E8)/2,0)</f>
        <v/>
      </c>
    </row>
    <row r="9">
      <c r="B9" s="19" t="n">
        <v>5</v>
      </c>
      <c r="C9" s="3" t="n"/>
      <c r="D9" s="7" t="n">
        <v>0</v>
      </c>
      <c r="E9" s="7" t="n">
        <v>0</v>
      </c>
      <c r="F9" s="20" t="n">
        <v>0</v>
      </c>
      <c r="G9" s="13">
        <f>IF(AND(D9&gt;0,F9&gt;0),MAX(0,(D9-E9)/F9),0)</f>
        <v/>
      </c>
      <c r="H9" s="13">
        <f>IF(D9&gt;0,(D9+E9)/2,0)</f>
        <v/>
      </c>
    </row>
    <row r="10">
      <c r="B10" s="19" t="n">
        <v>6</v>
      </c>
      <c r="C10" s="3" t="n"/>
      <c r="D10" s="7" t="n">
        <v>0</v>
      </c>
      <c r="E10" s="7" t="n">
        <v>0</v>
      </c>
      <c r="F10" s="20" t="n">
        <v>0</v>
      </c>
      <c r="G10" s="13">
        <f>IF(AND(D10&gt;0,F10&gt;0),MAX(0,(D10-E10)/F10),0)</f>
        <v/>
      </c>
      <c r="H10" s="13">
        <f>IF(D10&gt;0,(D10+E10)/2,0)</f>
        <v/>
      </c>
    </row>
    <row r="11">
      <c r="B11" s="19" t="n">
        <v>7</v>
      </c>
      <c r="C11" s="3" t="n"/>
      <c r="D11" s="7" t="n">
        <v>0</v>
      </c>
      <c r="E11" s="7" t="n">
        <v>0</v>
      </c>
      <c r="F11" s="20" t="n">
        <v>0</v>
      </c>
      <c r="G11" s="13">
        <f>IF(AND(D11&gt;0,F11&gt;0),MAX(0,(D11-E11)/F11),0)</f>
        <v/>
      </c>
      <c r="H11" s="13">
        <f>IF(D11&gt;0,(D11+E11)/2,0)</f>
        <v/>
      </c>
    </row>
    <row r="12">
      <c r="B12" s="19" t="n">
        <v>8</v>
      </c>
      <c r="C12" s="3" t="n"/>
      <c r="D12" s="7" t="n">
        <v>0</v>
      </c>
      <c r="E12" s="7" t="n">
        <v>0</v>
      </c>
      <c r="F12" s="20" t="n">
        <v>0</v>
      </c>
      <c r="G12" s="13">
        <f>IF(AND(D12&gt;0,F12&gt;0),MAX(0,(D12-E12)/F12),0)</f>
        <v/>
      </c>
      <c r="H12" s="13">
        <f>IF(D12&gt;0,(D12+E12)/2,0)</f>
        <v/>
      </c>
    </row>
    <row r="13">
      <c r="B13" s="19" t="n">
        <v>9</v>
      </c>
      <c r="C13" s="3" t="n"/>
      <c r="D13" s="7" t="n">
        <v>0</v>
      </c>
      <c r="E13" s="7" t="n">
        <v>0</v>
      </c>
      <c r="F13" s="20" t="n">
        <v>0</v>
      </c>
      <c r="G13" s="13">
        <f>IF(AND(D13&gt;0,F13&gt;0),MAX(0,(D13-E13)/F13),0)</f>
        <v/>
      </c>
      <c r="H13" s="13">
        <f>IF(D13&gt;0,(D13+E13)/2,0)</f>
        <v/>
      </c>
    </row>
    <row r="14">
      <c r="B14" s="19" t="n">
        <v>10</v>
      </c>
      <c r="C14" s="3" t="n"/>
      <c r="D14" s="7" t="n">
        <v>0</v>
      </c>
      <c r="E14" s="7" t="n">
        <v>0</v>
      </c>
      <c r="F14" s="20" t="n">
        <v>0</v>
      </c>
      <c r="G14" s="13">
        <f>IF(AND(D14&gt;0,F14&gt;0),MAX(0,(D14-E14)/F14),0)</f>
        <v/>
      </c>
      <c r="H14" s="13">
        <f>IF(D14&gt;0,(D14+E14)/2,0)</f>
        <v/>
      </c>
    </row>
    <row r="15"/>
    <row r="16">
      <c r="B16" s="10" t="inlineStr">
        <is>
          <t>Depreciação bens de capital:</t>
        </is>
      </c>
      <c r="G16" s="11">
        <f>SUM(G5:G14)</f>
        <v/>
      </c>
    </row>
    <row r="17">
      <c r="B17" s="12" t="inlineStr">
        <is>
          <t>Depreciação formação (automática):</t>
        </is>
      </c>
      <c r="G17" s="22">
        <f>dep_formacao</f>
        <v/>
      </c>
    </row>
    <row r="18">
      <c r="B18" s="23" t="inlineStr">
        <is>
          <t>DEPRECIAÇÃO TOTAL:</t>
        </is>
      </c>
      <c r="G18" s="11">
        <f>G16+G17</f>
        <v/>
      </c>
    </row>
    <row r="19"/>
    <row r="20">
      <c r="B20" s="12" t="inlineStr">
        <is>
          <t>Capital médio bens:</t>
        </is>
      </c>
      <c r="G20" s="22">
        <f>SUM(H5:H14)</f>
        <v/>
      </c>
    </row>
    <row r="21">
      <c r="B21" s="12" t="inlineStr">
        <is>
          <t>(+) Capital médio formação (invest/2):</t>
        </is>
      </c>
      <c r="G21" s="22">
        <f>IF(invest_total&gt;0,invest_total/2,0)</f>
        <v/>
      </c>
    </row>
    <row r="22">
      <c r="B22" s="23" t="inlineStr">
        <is>
          <t>CAPITAL MÉDIO TOTAL:</t>
        </is>
      </c>
      <c r="G22" s="11">
        <f>G20+G21</f>
        <v/>
      </c>
    </row>
    <row r="23"/>
    <row r="24" ht="22" customHeight="1">
      <c r="B24" s="1" t="inlineStr">
        <is>
          <t>OUTROS FIXOS E REMUNERAÇÃO</t>
        </is>
      </c>
    </row>
    <row r="25">
      <c r="B25" s="2" t="inlineStr">
        <is>
          <t>Pró-labore anual (R$):</t>
        </is>
      </c>
      <c r="E25" s="12" t="inlineStr">
        <is>
          <t>Remuneração do capital:</t>
        </is>
      </c>
      <c r="G25" s="22">
        <f>IF(AND(cap_medio&gt;0,taxa_cap&gt;0),cap_medio*(taxa_cap/100),0)</f>
        <v/>
      </c>
    </row>
    <row r="26">
      <c r="B26" s="2" t="inlineStr">
        <is>
          <t>Outros fixos (R$):</t>
        </is>
      </c>
      <c r="E26" s="12" t="inlineStr">
        <is>
          <t>Remuneração da terra:</t>
        </is>
      </c>
      <c r="G26" s="22">
        <f>IF(AND(arrend&gt;0,area_fixos&gt;0),arrend*area_fixos,0)</f>
        <v/>
      </c>
    </row>
    <row r="27">
      <c r="B27" s="2" t="inlineStr">
        <is>
          <t>Taxa remuneração capital (% a.a.):</t>
        </is>
      </c>
    </row>
    <row r="28">
      <c r="B28" s="2" t="inlineStr">
        <is>
          <t>Arrendamento (R$/ha):</t>
        </is>
      </c>
    </row>
    <row r="29">
      <c r="B29" s="2" t="inlineStr">
        <is>
          <t>Área para arrendamento (ha):</t>
        </is>
      </c>
      <c r="C29" s="21">
        <f>qtd_val</f>
        <v/>
      </c>
    </row>
    <row r="30"/>
    <row r="31">
      <c r="B31" s="12" t="inlineStr">
        <is>
          <t>COE (do passo 4):</t>
        </is>
      </c>
      <c r="G31" s="13">
        <f>coe_total</f>
        <v/>
      </c>
    </row>
    <row r="32">
      <c r="B32" s="12" t="inlineStr">
        <is>
          <t>(+) Depreciação total:</t>
        </is>
      </c>
      <c r="G32" s="13">
        <f>dep_total</f>
        <v/>
      </c>
    </row>
    <row r="33">
      <c r="B33" s="12" t="inlineStr">
        <is>
          <t>(+) Pró-labore:</t>
        </is>
      </c>
      <c r="G33" s="13">
        <f>prol_val</f>
        <v/>
      </c>
    </row>
    <row r="34">
      <c r="B34" s="12" t="inlineStr">
        <is>
          <t>(+) Outros fixos:</t>
        </is>
      </c>
      <c r="G34" s="13">
        <f>outros_fixos</f>
        <v/>
      </c>
    </row>
    <row r="35">
      <c r="B35" s="12" t="inlineStr">
        <is>
          <t>COT:</t>
        </is>
      </c>
      <c r="G35" s="11">
        <f>G31+G32+G33+G34</f>
        <v/>
      </c>
    </row>
    <row r="36">
      <c r="B36" s="12" t="inlineStr">
        <is>
          <t>(+) Remuneração do capital:</t>
        </is>
      </c>
      <c r="G36" s="13">
        <f>rem_cap</f>
        <v/>
      </c>
    </row>
    <row r="37">
      <c r="B37" s="12" t="inlineStr">
        <is>
          <t>(+) Remuneração da terra:</t>
        </is>
      </c>
      <c r="G37" s="13">
        <f>rem_terra</f>
        <v/>
      </c>
    </row>
    <row r="38">
      <c r="B38" s="12" t="inlineStr">
        <is>
          <t>CT (CUSTO TOTAL):</t>
        </is>
      </c>
      <c r="G38" s="15">
        <f>G35+G36+G37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>
      <c r="C2525" s="7" t="n">
        <v>0</v>
      </c>
    </row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>
      <c r="C2626" s="7" t="n">
        <v>0</v>
      </c>
    </row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>
      <c r="C2727" s="8" t="n">
        <v>0</v>
      </c>
    </row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>
      <c r="C2828" s="7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1:H1"/>
    <mergeCell ref="B3:H3"/>
    <mergeCell ref="B24:H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8552E"/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55" customWidth="1" min="4" max="4"/>
    <col width="42" customWidth="1" min="5" max="5"/>
    <col width="16" customWidth="1" min="6" max="6"/>
    <col width="8" customWidth="1" min="7" max="7"/>
    <col width="8" customWidth="1" min="8" max="8"/>
  </cols>
  <sheetData>
    <row r="1" ht="22" customHeight="1">
      <c r="B1" s="1" t="inlineStr">
        <is>
          <t>7. RESULTADO E INDICADORES</t>
        </is>
      </c>
    </row>
    <row r="2"/>
    <row r="3">
      <c r="B3" s="24" t="inlineStr">
        <is>
          <t>RESULTADO POR NÍVEL</t>
        </is>
      </c>
    </row>
    <row r="4">
      <c r="B4" s="12" t="inlineStr">
        <is>
          <t>Receita Líquida (RL):</t>
        </is>
      </c>
      <c r="C4" s="22">
        <f>rl_val</f>
        <v/>
      </c>
    </row>
    <row r="5">
      <c r="B5" s="12" t="inlineStr">
        <is>
          <t>(−) COE:</t>
        </is>
      </c>
      <c r="C5" s="22">
        <f>coe_total</f>
        <v/>
      </c>
    </row>
    <row r="6">
      <c r="B6" s="25" t="inlineStr">
        <is>
          <t>Margem Bruta:</t>
        </is>
      </c>
      <c r="C6" s="26">
        <f>C4-C5</f>
        <v/>
      </c>
    </row>
    <row r="7">
      <c r="B7" s="12" t="inlineStr">
        <is>
          <t>(−) Fixos (COT − COE):</t>
        </is>
      </c>
      <c r="C7" s="22">
        <f>cot_val-coe_total</f>
        <v/>
      </c>
    </row>
    <row r="8">
      <c r="B8" s="25" t="inlineStr">
        <is>
          <t>Margem Líquida:</t>
        </is>
      </c>
      <c r="C8" s="26">
        <f>C6-C7</f>
        <v/>
      </c>
    </row>
    <row r="9">
      <c r="B9" s="12" t="inlineStr">
        <is>
          <t>(−) Fatores (CT − COT):</t>
        </is>
      </c>
      <c r="C9" s="22">
        <f>ct_val-cot_val</f>
        <v/>
      </c>
    </row>
    <row r="10">
      <c r="B10" s="25" t="inlineStr">
        <is>
          <t>RESULTADO:</t>
        </is>
      </c>
      <c r="C10" s="27">
        <f>C8-C9</f>
        <v/>
      </c>
    </row>
    <row r="11"/>
    <row r="12">
      <c r="B12" s="24" t="inlineStr">
        <is>
          <t>INDICADORES ECONÔMICOS</t>
        </is>
      </c>
    </row>
    <row r="13">
      <c r="B13" s="12" t="inlineStr">
        <is>
          <t>Produtividade de nivelamento:</t>
        </is>
      </c>
      <c r="C13" s="28">
        <f>IF(AND(qtd_val&gt;0,preco_val&gt;0),coe_total/(qtd_val*preco_val),0)</f>
        <v/>
      </c>
    </row>
    <row r="14">
      <c r="B14" s="12" t="inlineStr">
        <is>
          <t>Preço de nivelamento:</t>
        </is>
      </c>
      <c r="C14" s="22">
        <f>IF(AND(qtd_val&gt;0,prod_val&gt;0),coe_total/(qtd_val*prod_val),0)</f>
        <v/>
      </c>
    </row>
    <row r="15">
      <c r="B15" s="12" t="inlineStr">
        <is>
          <t>Margem de segurança:</t>
        </is>
      </c>
      <c r="C15" s="29">
        <f>IF(AND(prod_val&gt;0,B13&gt;0),(prod_val-B13)/prod_val,0)</f>
        <v/>
      </c>
    </row>
    <row r="16">
      <c r="B16" s="12" t="inlineStr">
        <is>
          <t>Lucratividade:</t>
        </is>
      </c>
      <c r="C16" s="29">
        <f>IF(rb_val&gt;0,resultado_final/rb_val,0)</f>
        <v/>
      </c>
    </row>
    <row r="17">
      <c r="B17" s="12" t="inlineStr">
        <is>
          <t>Rentabilidade (ROI):</t>
        </is>
      </c>
      <c r="C17" s="29">
        <f>IF(coe_total&gt;0,resultado_final/coe_total,0)</f>
        <v/>
      </c>
    </row>
    <row r="18">
      <c r="B18" s="12" t="inlineStr">
        <is>
          <t>Eficiência econômica (RB/CT):</t>
        </is>
      </c>
      <c r="C18" s="30">
        <f>IF(ct_val&gt;0,rb_val/ct_val,0)</f>
        <v/>
      </c>
    </row>
    <row r="19">
      <c r="B19" s="12" t="inlineStr">
        <is>
          <t>Ponto de equilíbrio (unidades):</t>
        </is>
      </c>
      <c r="C19" s="28">
        <f>IF(rl_val&gt;0,ct_val/(rl_val/qtd_val),0)</f>
        <v/>
      </c>
    </row>
    <row r="20"/>
    <row r="21">
      <c r="B21" s="24" t="inlineStr">
        <is>
          <t>AVALIAÇÃO PLURIANUAL (PERENES)</t>
        </is>
      </c>
    </row>
    <row r="22">
      <c r="B22" s="2" t="inlineStr">
        <is>
          <t>Custo de formação anual TOTAL (R$):</t>
        </is>
      </c>
      <c r="C22" s="7" t="n">
        <v>0</v>
      </c>
    </row>
    <row r="23">
      <c r="B23" s="2" t="inlineStr">
        <is>
          <t>Taxa de desconto (% a.a.):</t>
        </is>
      </c>
      <c r="C23" s="8" t="n">
        <v>6</v>
      </c>
    </row>
    <row r="24"/>
    <row r="25">
      <c r="B25" s="18" t="inlineStr">
        <is>
          <t>Ano</t>
        </is>
      </c>
      <c r="C25" s="18" t="inlineStr">
        <is>
          <t>Fase</t>
        </is>
      </c>
      <c r="D25" s="18" t="inlineStr">
        <is>
          <t>Fluxo (R$)</t>
        </is>
      </c>
      <c r="E25" s="18" t="inlineStr">
        <is>
          <t>Descontado (R$)</t>
        </is>
      </c>
      <c r="F25" s="18" t="inlineStr">
        <is>
          <t>Acumulado (R$)</t>
        </is>
      </c>
    </row>
    <row r="26">
      <c r="B26" s="19" t="n">
        <v>0</v>
      </c>
      <c r="C26" s="6">
        <f>IF(B26=0,"Implantação",IF(B26&lt;=form_anos,"Formação",IF(B26&lt;=form_anos+vida_util,"Produção","")))</f>
        <v/>
      </c>
      <c r="D26" s="13">
        <f>IF(B26=0,-invest_total,IF(B26&lt;=form_anos,-custo_form,IF(B26&lt;=form_anos+vida_util,rl_val-(ct_val-dep_total),0)))</f>
        <v/>
      </c>
      <c r="E26" s="13">
        <f>IF(D26&lt;&gt;"",D26/(1+taxa_desc/100)^B26,0)</f>
        <v/>
      </c>
      <c r="F26" s="13">
        <f>E26</f>
        <v/>
      </c>
    </row>
    <row r="27">
      <c r="B27" s="19" t="n">
        <v>1</v>
      </c>
      <c r="C27" s="6">
        <f>IF(B27=0,"Implantação",IF(B27&lt;=form_anos,"Formação",IF(B27&lt;=form_anos+vida_util,"Produção","")))</f>
        <v/>
      </c>
      <c r="D27" s="13">
        <f>IF(B27=0,-invest_total,IF(B27&lt;=form_anos,-custo_form,IF(B27&lt;=form_anos+vida_util,rl_val-(ct_val-dep_total),0)))</f>
        <v/>
      </c>
      <c r="E27" s="13">
        <f>IF(D27&lt;&gt;"",D27/(1+taxa_desc/100)^B27,0)</f>
        <v/>
      </c>
      <c r="F27" s="13">
        <f>F26+E27</f>
        <v/>
      </c>
    </row>
    <row r="28">
      <c r="B28" s="19" t="n">
        <v>2</v>
      </c>
      <c r="C28" s="6">
        <f>IF(B28=0,"Implantação",IF(B28&lt;=form_anos,"Formação",IF(B28&lt;=form_anos+vida_util,"Produção","")))</f>
        <v/>
      </c>
      <c r="D28" s="13">
        <f>IF(B28=0,-invest_total,IF(B28&lt;=form_anos,-custo_form,IF(B28&lt;=form_anos+vida_util,rl_val-(ct_val-dep_total),0)))</f>
        <v/>
      </c>
      <c r="E28" s="13">
        <f>IF(D28&lt;&gt;"",D28/(1+taxa_desc/100)^B28,0)</f>
        <v/>
      </c>
      <c r="F28" s="13">
        <f>F27+E28</f>
        <v/>
      </c>
    </row>
    <row r="29">
      <c r="B29" s="19" t="n">
        <v>3</v>
      </c>
      <c r="C29" s="6">
        <f>IF(B29=0,"Implantação",IF(B29&lt;=form_anos,"Formação",IF(B29&lt;=form_anos+vida_util,"Produção","")))</f>
        <v/>
      </c>
      <c r="D29" s="13">
        <f>IF(B29=0,-invest_total,IF(B29&lt;=form_anos,-custo_form,IF(B29&lt;=form_anos+vida_util,rl_val-(ct_val-dep_total),0)))</f>
        <v/>
      </c>
      <c r="E29" s="13">
        <f>IF(D29&lt;&gt;"",D29/(1+taxa_desc/100)^B29,0)</f>
        <v/>
      </c>
      <c r="F29" s="13">
        <f>F28+E29</f>
        <v/>
      </c>
    </row>
    <row r="30">
      <c r="B30" s="19" t="n">
        <v>4</v>
      </c>
      <c r="C30" s="6">
        <f>IF(B30=0,"Implantação",IF(B30&lt;=form_anos,"Formação",IF(B30&lt;=form_anos+vida_util,"Produção","")))</f>
        <v/>
      </c>
      <c r="D30" s="13">
        <f>IF(B30=0,-invest_total,IF(B30&lt;=form_anos,-custo_form,IF(B30&lt;=form_anos+vida_util,rl_val-(ct_val-dep_total),0)))</f>
        <v/>
      </c>
      <c r="E30" s="13">
        <f>IF(D30&lt;&gt;"",D30/(1+taxa_desc/100)^B30,0)</f>
        <v/>
      </c>
      <c r="F30" s="13">
        <f>F29+E30</f>
        <v/>
      </c>
    </row>
    <row r="31">
      <c r="B31" s="19" t="n">
        <v>5</v>
      </c>
      <c r="C31" s="6">
        <f>IF(B31=0,"Implantação",IF(B31&lt;=form_anos,"Formação",IF(B31&lt;=form_anos+vida_util,"Produção","")))</f>
        <v/>
      </c>
      <c r="D31" s="13">
        <f>IF(B31=0,-invest_total,IF(B31&lt;=form_anos,-custo_form,IF(B31&lt;=form_anos+vida_util,rl_val-(ct_val-dep_total),0)))</f>
        <v/>
      </c>
      <c r="E31" s="13">
        <f>IF(D31&lt;&gt;"",D31/(1+taxa_desc/100)^B31,0)</f>
        <v/>
      </c>
      <c r="F31" s="13">
        <f>F30+E31</f>
        <v/>
      </c>
    </row>
    <row r="32">
      <c r="B32" s="19" t="n">
        <v>6</v>
      </c>
      <c r="C32" s="6">
        <f>IF(B32=0,"Implantação",IF(B32&lt;=form_anos,"Formação",IF(B32&lt;=form_anos+vida_util,"Produção","")))</f>
        <v/>
      </c>
      <c r="D32" s="13">
        <f>IF(B32=0,-invest_total,IF(B32&lt;=form_anos,-custo_form,IF(B32&lt;=form_anos+vida_util,rl_val-(ct_val-dep_total),0)))</f>
        <v/>
      </c>
      <c r="E32" s="13">
        <f>IF(D32&lt;&gt;"",D32/(1+taxa_desc/100)^B32,0)</f>
        <v/>
      </c>
      <c r="F32" s="13">
        <f>F31+E32</f>
        <v/>
      </c>
    </row>
    <row r="33">
      <c r="B33" s="19" t="n">
        <v>7</v>
      </c>
      <c r="C33" s="6">
        <f>IF(B33=0,"Implantação",IF(B33&lt;=form_anos,"Formação",IF(B33&lt;=form_anos+vida_util,"Produção","")))</f>
        <v/>
      </c>
      <c r="D33" s="13">
        <f>IF(B33=0,-invest_total,IF(B33&lt;=form_anos,-custo_form,IF(B33&lt;=form_anos+vida_util,rl_val-(ct_val-dep_total),0)))</f>
        <v/>
      </c>
      <c r="E33" s="13">
        <f>IF(D33&lt;&gt;"",D33/(1+taxa_desc/100)^B33,0)</f>
        <v/>
      </c>
      <c r="F33" s="13">
        <f>F32+E33</f>
        <v/>
      </c>
    </row>
    <row r="34">
      <c r="B34" s="19" t="n">
        <v>8</v>
      </c>
      <c r="C34" s="6">
        <f>IF(B34=0,"Implantação",IF(B34&lt;=form_anos,"Formação",IF(B34&lt;=form_anos+vida_util,"Produção","")))</f>
        <v/>
      </c>
      <c r="D34" s="13">
        <f>IF(B34=0,-invest_total,IF(B34&lt;=form_anos,-custo_form,IF(B34&lt;=form_anos+vida_util,rl_val-(ct_val-dep_total),0)))</f>
        <v/>
      </c>
      <c r="E34" s="13">
        <f>IF(D34&lt;&gt;"",D34/(1+taxa_desc/100)^B34,0)</f>
        <v/>
      </c>
      <c r="F34" s="13">
        <f>F33+E34</f>
        <v/>
      </c>
    </row>
    <row r="35">
      <c r="B35" s="19" t="n">
        <v>9</v>
      </c>
      <c r="C35" s="6">
        <f>IF(B35=0,"Implantação",IF(B35&lt;=form_anos,"Formação",IF(B35&lt;=form_anos+vida_util,"Produção","")))</f>
        <v/>
      </c>
      <c r="D35" s="13">
        <f>IF(B35=0,-invest_total,IF(B35&lt;=form_anos,-custo_form,IF(B35&lt;=form_anos+vida_util,rl_val-(ct_val-dep_total),0)))</f>
        <v/>
      </c>
      <c r="E35" s="13">
        <f>IF(D35&lt;&gt;"",D35/(1+taxa_desc/100)^B35,0)</f>
        <v/>
      </c>
      <c r="F35" s="13">
        <f>F34+E35</f>
        <v/>
      </c>
    </row>
    <row r="36">
      <c r="B36" s="19" t="n">
        <v>10</v>
      </c>
      <c r="C36" s="6">
        <f>IF(B36=0,"Implantação",IF(B36&lt;=form_anos,"Formação",IF(B36&lt;=form_anos+vida_util,"Produção","")))</f>
        <v/>
      </c>
      <c r="D36" s="13">
        <f>IF(B36=0,-invest_total,IF(B36&lt;=form_anos,-custo_form,IF(B36&lt;=form_anos+vida_util,rl_val-(ct_val-dep_total),0)))</f>
        <v/>
      </c>
      <c r="E36" s="13">
        <f>IF(D36&lt;&gt;"",D36/(1+taxa_desc/100)^B36,0)</f>
        <v/>
      </c>
      <c r="F36" s="13">
        <f>F35+E36</f>
        <v/>
      </c>
    </row>
    <row r="37">
      <c r="B37" s="19" t="n">
        <v>11</v>
      </c>
      <c r="C37" s="6">
        <f>IF(B37=0,"Implantação",IF(B37&lt;=form_anos,"Formação",IF(B37&lt;=form_anos+vida_util,"Produção","")))</f>
        <v/>
      </c>
      <c r="D37" s="13">
        <f>IF(B37=0,-invest_total,IF(B37&lt;=form_anos,-custo_form,IF(B37&lt;=form_anos+vida_util,rl_val-(ct_val-dep_total),0)))</f>
        <v/>
      </c>
      <c r="E37" s="13">
        <f>IF(D37&lt;&gt;"",D37/(1+taxa_desc/100)^B37,0)</f>
        <v/>
      </c>
      <c r="F37" s="13">
        <f>F36+E37</f>
        <v/>
      </c>
    </row>
    <row r="38">
      <c r="B38" s="19" t="n">
        <v>12</v>
      </c>
      <c r="C38" s="6">
        <f>IF(B38=0,"Implantação",IF(B38&lt;=form_anos,"Formação",IF(B38&lt;=form_anos+vida_util,"Produção","")))</f>
        <v/>
      </c>
      <c r="D38" s="13">
        <f>IF(B38=0,-invest_total,IF(B38&lt;=form_anos,-custo_form,IF(B38&lt;=form_anos+vida_util,rl_val-(ct_val-dep_total),0)))</f>
        <v/>
      </c>
      <c r="E38" s="13">
        <f>IF(D38&lt;&gt;"",D38/(1+taxa_desc/100)^B38,0)</f>
        <v/>
      </c>
      <c r="F38" s="13">
        <f>F37+E38</f>
        <v/>
      </c>
    </row>
    <row r="39">
      <c r="B39" s="19" t="n">
        <v>13</v>
      </c>
      <c r="C39" s="6">
        <f>IF(B39=0,"Implantação",IF(B39&lt;=form_anos,"Formação",IF(B39&lt;=form_anos+vida_util,"Produção","")))</f>
        <v/>
      </c>
      <c r="D39" s="13">
        <f>IF(B39=0,-invest_total,IF(B39&lt;=form_anos,-custo_form,IF(B39&lt;=form_anos+vida_util,rl_val-(ct_val-dep_total),0)))</f>
        <v/>
      </c>
      <c r="E39" s="13">
        <f>IF(D39&lt;&gt;"",D39/(1+taxa_desc/100)^B39,0)</f>
        <v/>
      </c>
      <c r="F39" s="13">
        <f>F38+E39</f>
        <v/>
      </c>
    </row>
    <row r="40">
      <c r="B40" s="19" t="n">
        <v>14</v>
      </c>
      <c r="C40" s="6">
        <f>IF(B40=0,"Implantação",IF(B40&lt;=form_anos,"Formação",IF(B40&lt;=form_anos+vida_util,"Produção","")))</f>
        <v/>
      </c>
      <c r="D40" s="13">
        <f>IF(B40=0,-invest_total,IF(B40&lt;=form_anos,-custo_form,IF(B40&lt;=form_anos+vida_util,rl_val-(ct_val-dep_total),0)))</f>
        <v/>
      </c>
      <c r="E40" s="13">
        <f>IF(D40&lt;&gt;"",D40/(1+taxa_desc/100)^B40,0)</f>
        <v/>
      </c>
      <c r="F40" s="13">
        <f>F39+E40</f>
        <v/>
      </c>
    </row>
    <row r="41">
      <c r="B41" s="19" t="n">
        <v>15</v>
      </c>
      <c r="C41" s="6">
        <f>IF(B41=0,"Implantação",IF(B41&lt;=form_anos,"Formação",IF(B41&lt;=form_anos+vida_util,"Produção","")))</f>
        <v/>
      </c>
      <c r="D41" s="13">
        <f>IF(B41=0,-invest_total,IF(B41&lt;=form_anos,-custo_form,IF(B41&lt;=form_anos+vida_util,rl_val-(ct_val-dep_total),0)))</f>
        <v/>
      </c>
      <c r="E41" s="13">
        <f>IF(D41&lt;&gt;"",D41/(1+taxa_desc/100)^B41,0)</f>
        <v/>
      </c>
      <c r="F41" s="13">
        <f>F40+E41</f>
        <v/>
      </c>
    </row>
    <row r="42">
      <c r="B42" s="19" t="n">
        <v>16</v>
      </c>
      <c r="C42" s="6">
        <f>IF(B42=0,"Implantação",IF(B42&lt;=form_anos,"Formação",IF(B42&lt;=form_anos+vida_util,"Produção","")))</f>
        <v/>
      </c>
      <c r="D42" s="13">
        <f>IF(B42=0,-invest_total,IF(B42&lt;=form_anos,-custo_form,IF(B42&lt;=form_anos+vida_util,rl_val-(ct_val-dep_total),0)))</f>
        <v/>
      </c>
      <c r="E42" s="13">
        <f>IF(D42&lt;&gt;"",D42/(1+taxa_desc/100)^B42,0)</f>
        <v/>
      </c>
      <c r="F42" s="13">
        <f>F41+E42</f>
        <v/>
      </c>
    </row>
    <row r="43">
      <c r="B43" s="19" t="n">
        <v>17</v>
      </c>
      <c r="C43" s="6">
        <f>IF(B43=0,"Implantação",IF(B43&lt;=form_anos,"Formação",IF(B43&lt;=form_anos+vida_util,"Produção","")))</f>
        <v/>
      </c>
      <c r="D43" s="13">
        <f>IF(B43=0,-invest_total,IF(B43&lt;=form_anos,-custo_form,IF(B43&lt;=form_anos+vida_util,rl_val-(ct_val-dep_total),0)))</f>
        <v/>
      </c>
      <c r="E43" s="13">
        <f>IF(D43&lt;&gt;"",D43/(1+taxa_desc/100)^B43,0)</f>
        <v/>
      </c>
      <c r="F43" s="13">
        <f>F42+E43</f>
        <v/>
      </c>
    </row>
    <row r="44">
      <c r="B44" s="19" t="n">
        <v>18</v>
      </c>
      <c r="C44" s="6">
        <f>IF(B44=0,"Implantação",IF(B44&lt;=form_anos,"Formação",IF(B44&lt;=form_anos+vida_util,"Produção","")))</f>
        <v/>
      </c>
      <c r="D44" s="13">
        <f>IF(B44=0,-invest_total,IF(B44&lt;=form_anos,-custo_form,IF(B44&lt;=form_anos+vida_util,rl_val-(ct_val-dep_total),0)))</f>
        <v/>
      </c>
      <c r="E44" s="13">
        <f>IF(D44&lt;&gt;"",D44/(1+taxa_desc/100)^B44,0)</f>
        <v/>
      </c>
      <c r="F44" s="13">
        <f>F43+E44</f>
        <v/>
      </c>
    </row>
    <row r="45">
      <c r="B45" s="19" t="n">
        <v>19</v>
      </c>
      <c r="C45" s="6">
        <f>IF(B45=0,"Implantação",IF(B45&lt;=form_anos,"Formação",IF(B45&lt;=form_anos+vida_util,"Produção","")))</f>
        <v/>
      </c>
      <c r="D45" s="13">
        <f>IF(B45=0,-invest_total,IF(B45&lt;=form_anos,-custo_form,IF(B45&lt;=form_anos+vida_util,rl_val-(ct_val-dep_total),0)))</f>
        <v/>
      </c>
      <c r="E45" s="13">
        <f>IF(D45&lt;&gt;"",D45/(1+taxa_desc/100)^B45,0)</f>
        <v/>
      </c>
      <c r="F45" s="13">
        <f>F44+E45</f>
        <v/>
      </c>
    </row>
    <row r="46">
      <c r="B46" s="19" t="n">
        <v>20</v>
      </c>
      <c r="C46" s="6">
        <f>IF(B46=0,"Implantação",IF(B46&lt;=form_anos,"Formação",IF(B46&lt;=form_anos+vida_util,"Produção","")))</f>
        <v/>
      </c>
      <c r="D46" s="13">
        <f>IF(B46=0,-invest_total,IF(B46&lt;=form_anos,-custo_form,IF(B46&lt;=form_anos+vida_util,rl_val-(ct_val-dep_total),0)))</f>
        <v/>
      </c>
      <c r="E46" s="13">
        <f>IF(D46&lt;&gt;"",D46/(1+taxa_desc/100)^B46,0)</f>
        <v/>
      </c>
      <c r="F46" s="13">
        <f>F45+E46</f>
        <v/>
      </c>
    </row>
    <row r="47">
      <c r="B47" s="19" t="n">
        <v>21</v>
      </c>
      <c r="C47" s="6">
        <f>IF(B47=0,"Implantação",IF(B47&lt;=form_anos,"Formação",IF(B47&lt;=form_anos+vida_util,"Produção","")))</f>
        <v/>
      </c>
      <c r="D47" s="13">
        <f>IF(B47=0,-invest_total,IF(B47&lt;=form_anos,-custo_form,IF(B47&lt;=form_anos+vida_util,rl_val-(ct_val-dep_total),0)))</f>
        <v/>
      </c>
      <c r="E47" s="13">
        <f>IF(D47&lt;&gt;"",D47/(1+taxa_desc/100)^B47,0)</f>
        <v/>
      </c>
      <c r="F47" s="13">
        <f>F46+E47</f>
        <v/>
      </c>
    </row>
    <row r="48">
      <c r="B48" s="19" t="n">
        <v>22</v>
      </c>
      <c r="C48" s="6">
        <f>IF(B48=0,"Implantação",IF(B48&lt;=form_anos,"Formação",IF(B48&lt;=form_anos+vida_util,"Produção","")))</f>
        <v/>
      </c>
      <c r="D48" s="13">
        <f>IF(B48=0,-invest_total,IF(B48&lt;=form_anos,-custo_form,IF(B48&lt;=form_anos+vida_util,rl_val-(ct_val-dep_total),0)))</f>
        <v/>
      </c>
      <c r="E48" s="13">
        <f>IF(D48&lt;&gt;"",D48/(1+taxa_desc/100)^B48,0)</f>
        <v/>
      </c>
      <c r="F48" s="13">
        <f>F47+E48</f>
        <v/>
      </c>
    </row>
    <row r="49">
      <c r="B49" s="19" t="n">
        <v>23</v>
      </c>
      <c r="C49" s="6">
        <f>IF(B49=0,"Implantação",IF(B49&lt;=form_anos,"Formação",IF(B49&lt;=form_anos+vida_util,"Produção","")))</f>
        <v/>
      </c>
      <c r="D49" s="13">
        <f>IF(B49=0,-invest_total,IF(B49&lt;=form_anos,-custo_form,IF(B49&lt;=form_anos+vida_util,rl_val-(ct_val-dep_total),0)))</f>
        <v/>
      </c>
      <c r="E49" s="13">
        <f>IF(D49&lt;&gt;"",D49/(1+taxa_desc/100)^B49,0)</f>
        <v/>
      </c>
      <c r="F49" s="13">
        <f>F48+E49</f>
        <v/>
      </c>
    </row>
    <row r="50">
      <c r="B50" s="19" t="n">
        <v>24</v>
      </c>
      <c r="C50" s="6">
        <f>IF(B50=0,"Implantação",IF(B50&lt;=form_anos,"Formação",IF(B50&lt;=form_anos+vida_util,"Produção","")))</f>
        <v/>
      </c>
      <c r="D50" s="13">
        <f>IF(B50=0,-invest_total,IF(B50&lt;=form_anos,-custo_form,IF(B50&lt;=form_anos+vida_util,rl_val-(ct_val-dep_total),0)))</f>
        <v/>
      </c>
      <c r="E50" s="13">
        <f>IF(D50&lt;&gt;"",D50/(1+taxa_desc/100)^B50,0)</f>
        <v/>
      </c>
      <c r="F50" s="13">
        <f>F49+E50</f>
        <v/>
      </c>
    </row>
    <row r="51">
      <c r="B51" s="19" t="n">
        <v>25</v>
      </c>
      <c r="C51" s="6">
        <f>IF(B51=0,"Implantação",IF(B51&lt;=form_anos,"Formação",IF(B51&lt;=form_anos+vida_util,"Produção","")))</f>
        <v/>
      </c>
      <c r="D51" s="13">
        <f>IF(B51=0,-invest_total,IF(B51&lt;=form_anos,-custo_form,IF(B51&lt;=form_anos+vida_util,rl_val-(ct_val-dep_total),0)))</f>
        <v/>
      </c>
      <c r="E51" s="13">
        <f>IF(D51&lt;&gt;"",D51/(1+taxa_desc/100)^B51,0)</f>
        <v/>
      </c>
      <c r="F51" s="13">
        <f>F50+E51</f>
        <v/>
      </c>
    </row>
    <row r="52">
      <c r="B52" s="19" t="n">
        <v>26</v>
      </c>
      <c r="C52" s="6">
        <f>IF(B52=0,"Implantação",IF(B52&lt;=form_anos,"Formação",IF(B52&lt;=form_anos+vida_util,"Produção","")))</f>
        <v/>
      </c>
      <c r="D52" s="13">
        <f>IF(B52=0,-invest_total,IF(B52&lt;=form_anos,-custo_form,IF(B52&lt;=form_anos+vida_util,rl_val-(ct_val-dep_total),0)))</f>
        <v/>
      </c>
      <c r="E52" s="13">
        <f>IF(D52&lt;&gt;"",D52/(1+taxa_desc/100)^B52,0)</f>
        <v/>
      </c>
      <c r="F52" s="13">
        <f>F51+E52</f>
        <v/>
      </c>
    </row>
    <row r="53">
      <c r="B53" s="19" t="n">
        <v>27</v>
      </c>
      <c r="C53" s="6">
        <f>IF(B53=0,"Implantação",IF(B53&lt;=form_anos,"Formação",IF(B53&lt;=form_anos+vida_util,"Produção","")))</f>
        <v/>
      </c>
      <c r="D53" s="13">
        <f>IF(B53=0,-invest_total,IF(B53&lt;=form_anos,-custo_form,IF(B53&lt;=form_anos+vida_util,rl_val-(ct_val-dep_total),0)))</f>
        <v/>
      </c>
      <c r="E53" s="13">
        <f>IF(D53&lt;&gt;"",D53/(1+taxa_desc/100)^B53,0)</f>
        <v/>
      </c>
      <c r="F53" s="13">
        <f>F52+E53</f>
        <v/>
      </c>
    </row>
    <row r="54">
      <c r="B54" s="19" t="n">
        <v>28</v>
      </c>
      <c r="C54" s="6">
        <f>IF(B54=0,"Implantação",IF(B54&lt;=form_anos,"Formação",IF(B54&lt;=form_anos+vida_util,"Produção","")))</f>
        <v/>
      </c>
      <c r="D54" s="13">
        <f>IF(B54=0,-invest_total,IF(B54&lt;=form_anos,-custo_form,IF(B54&lt;=form_anos+vida_util,rl_val-(ct_val-dep_total),0)))</f>
        <v/>
      </c>
      <c r="E54" s="13">
        <f>IF(D54&lt;&gt;"",D54/(1+taxa_desc/100)^B54,0)</f>
        <v/>
      </c>
      <c r="F54" s="13">
        <f>F53+E54</f>
        <v/>
      </c>
    </row>
    <row r="55">
      <c r="B55" s="19" t="n">
        <v>29</v>
      </c>
      <c r="C55" s="6">
        <f>IF(B55=0,"Implantação",IF(B55&lt;=form_anos,"Formação",IF(B55&lt;=form_anos+vida_util,"Produção","")))</f>
        <v/>
      </c>
      <c r="D55" s="13">
        <f>IF(B55=0,-invest_total,IF(B55&lt;=form_anos,-custo_form,IF(B55&lt;=form_anos+vida_util,rl_val-(ct_val-dep_total),0)))</f>
        <v/>
      </c>
      <c r="E55" s="13">
        <f>IF(D55&lt;&gt;"",D55/(1+taxa_desc/100)^B55,0)</f>
        <v/>
      </c>
      <c r="F55" s="13">
        <f>F54+E55</f>
        <v/>
      </c>
    </row>
    <row r="56">
      <c r="B56" s="19" t="n">
        <v>30</v>
      </c>
      <c r="C56" s="6">
        <f>IF(B56=0,"Implantação",IF(B56&lt;=form_anos,"Formação",IF(B56&lt;=form_anos+vida_util,"Produção","")))</f>
        <v/>
      </c>
      <c r="D56" s="13">
        <f>IF(B56=0,-invest_total,IF(B56&lt;=form_anos,-custo_form,IF(B56&lt;=form_anos+vida_util,rl_val-(ct_val-dep_total),0)))</f>
        <v/>
      </c>
      <c r="E56" s="13">
        <f>IF(D56&lt;&gt;"",D56/(1+taxa_desc/100)^B56,0)</f>
        <v/>
      </c>
      <c r="F56" s="13">
        <f>F55+E56</f>
        <v/>
      </c>
    </row>
    <row r="57">
      <c r="B57" s="19" t="n">
        <v>31</v>
      </c>
      <c r="C57" s="6">
        <f>IF(B57=0,"Implantação",IF(B57&lt;=form_anos,"Formação",IF(B57&lt;=form_anos+vida_util,"Produção","")))</f>
        <v/>
      </c>
      <c r="D57" s="13">
        <f>IF(B57=0,-invest_total,IF(B57&lt;=form_anos,-custo_form,IF(B57&lt;=form_anos+vida_util,rl_val-(ct_val-dep_total),0)))</f>
        <v/>
      </c>
      <c r="E57" s="13">
        <f>IF(D57&lt;&gt;"",D57/(1+taxa_desc/100)^B57,0)</f>
        <v/>
      </c>
      <c r="F57" s="13">
        <f>F56+E57</f>
        <v/>
      </c>
    </row>
    <row r="58">
      <c r="B58" s="19" t="n">
        <v>32</v>
      </c>
      <c r="C58" s="6">
        <f>IF(B58=0,"Implantação",IF(B58&lt;=form_anos,"Formação",IF(B58&lt;=form_anos+vida_util,"Produção","")))</f>
        <v/>
      </c>
      <c r="D58" s="13">
        <f>IF(B58=0,-invest_total,IF(B58&lt;=form_anos,-custo_form,IF(B58&lt;=form_anos+vida_util,rl_val-(ct_val-dep_total),0)))</f>
        <v/>
      </c>
      <c r="E58" s="13">
        <f>IF(D58&lt;&gt;"",D58/(1+taxa_desc/100)^B58,0)</f>
        <v/>
      </c>
      <c r="F58" s="13">
        <f>F57+E58</f>
        <v/>
      </c>
    </row>
    <row r="59">
      <c r="B59" s="19" t="n">
        <v>33</v>
      </c>
      <c r="C59" s="6">
        <f>IF(B59=0,"Implantação",IF(B59&lt;=form_anos,"Formação",IF(B59&lt;=form_anos+vida_util,"Produção","")))</f>
        <v/>
      </c>
      <c r="D59" s="13">
        <f>IF(B59=0,-invest_total,IF(B59&lt;=form_anos,-custo_form,IF(B59&lt;=form_anos+vida_util,rl_val-(ct_val-dep_total),0)))</f>
        <v/>
      </c>
      <c r="E59" s="13">
        <f>IF(D59&lt;&gt;"",D59/(1+taxa_desc/100)^B59,0)</f>
        <v/>
      </c>
      <c r="F59" s="13">
        <f>F58+E59</f>
        <v/>
      </c>
    </row>
    <row r="60">
      <c r="B60" s="19" t="n">
        <v>34</v>
      </c>
      <c r="C60" s="6">
        <f>IF(B60=0,"Implantação",IF(B60&lt;=form_anos,"Formação",IF(B60&lt;=form_anos+vida_util,"Produção","")))</f>
        <v/>
      </c>
      <c r="D60" s="13">
        <f>IF(B60=0,-invest_total,IF(B60&lt;=form_anos,-custo_form,IF(B60&lt;=form_anos+vida_util,rl_val-(ct_val-dep_total),0)))</f>
        <v/>
      </c>
      <c r="E60" s="13">
        <f>IF(D60&lt;&gt;"",D60/(1+taxa_desc/100)^B60,0)</f>
        <v/>
      </c>
      <c r="F60" s="13">
        <f>F59+E60</f>
        <v/>
      </c>
    </row>
    <row r="61">
      <c r="B61" s="19" t="n">
        <v>35</v>
      </c>
      <c r="C61" s="6">
        <f>IF(B61=0,"Implantação",IF(B61&lt;=form_anos,"Formação",IF(B61&lt;=form_anos+vida_util,"Produção","")))</f>
        <v/>
      </c>
      <c r="D61" s="13">
        <f>IF(B61=0,-invest_total,IF(B61&lt;=form_anos,-custo_form,IF(B61&lt;=form_anos+vida_util,rl_val-(ct_val-dep_total),0)))</f>
        <v/>
      </c>
      <c r="E61" s="13">
        <f>IF(D61&lt;&gt;"",D61/(1+taxa_desc/100)^B61,0)</f>
        <v/>
      </c>
      <c r="F61" s="13">
        <f>F60+E61</f>
        <v/>
      </c>
    </row>
    <row r="62">
      <c r="B62" s="19" t="n">
        <v>36</v>
      </c>
      <c r="C62" s="6">
        <f>IF(B62=0,"Implantação",IF(B62&lt;=form_anos,"Formação",IF(B62&lt;=form_anos+vida_util,"Produção","")))</f>
        <v/>
      </c>
      <c r="D62" s="13">
        <f>IF(B62=0,-invest_total,IF(B62&lt;=form_anos,-custo_form,IF(B62&lt;=form_anos+vida_util,rl_val-(ct_val-dep_total),0)))</f>
        <v/>
      </c>
      <c r="E62" s="13">
        <f>IF(D62&lt;&gt;"",D62/(1+taxa_desc/100)^B62,0)</f>
        <v/>
      </c>
      <c r="F62" s="13">
        <f>F61+E62</f>
        <v/>
      </c>
    </row>
    <row r="63">
      <c r="B63" s="19" t="n">
        <v>37</v>
      </c>
      <c r="C63" s="6">
        <f>IF(B63=0,"Implantação",IF(B63&lt;=form_anos,"Formação",IF(B63&lt;=form_anos+vida_util,"Produção","")))</f>
        <v/>
      </c>
      <c r="D63" s="13">
        <f>IF(B63=0,-invest_total,IF(B63&lt;=form_anos,-custo_form,IF(B63&lt;=form_anos+vida_util,rl_val-(ct_val-dep_total),0)))</f>
        <v/>
      </c>
      <c r="E63" s="13">
        <f>IF(D63&lt;&gt;"",D63/(1+taxa_desc/100)^B63,0)</f>
        <v/>
      </c>
      <c r="F63" s="13">
        <f>F62+E63</f>
        <v/>
      </c>
    </row>
    <row r="64">
      <c r="B64" s="19" t="n">
        <v>38</v>
      </c>
      <c r="C64" s="6">
        <f>IF(B64=0,"Implantação",IF(B64&lt;=form_anos,"Formação",IF(B64&lt;=form_anos+vida_util,"Produção","")))</f>
        <v/>
      </c>
      <c r="D64" s="13">
        <f>IF(B64=0,-invest_total,IF(B64&lt;=form_anos,-custo_form,IF(B64&lt;=form_anos+vida_util,rl_val-(ct_val-dep_total),0)))</f>
        <v/>
      </c>
      <c r="E64" s="13">
        <f>IF(D64&lt;&gt;"",D64/(1+taxa_desc/100)^B64,0)</f>
        <v/>
      </c>
      <c r="F64" s="13">
        <f>F63+E64</f>
        <v/>
      </c>
    </row>
    <row r="65">
      <c r="B65" s="19" t="n">
        <v>39</v>
      </c>
      <c r="C65" s="6">
        <f>IF(B65=0,"Implantação",IF(B65&lt;=form_anos,"Formação",IF(B65&lt;=form_anos+vida_util,"Produção","")))</f>
        <v/>
      </c>
      <c r="D65" s="13">
        <f>IF(B65=0,-invest_total,IF(B65&lt;=form_anos,-custo_form,IF(B65&lt;=form_anos+vida_util,rl_val-(ct_val-dep_total),0)))</f>
        <v/>
      </c>
      <c r="E65" s="13">
        <f>IF(D65&lt;&gt;"",D65/(1+taxa_desc/100)^B65,0)</f>
        <v/>
      </c>
      <c r="F65" s="13">
        <f>F64+E65</f>
        <v/>
      </c>
    </row>
    <row r="66"/>
    <row r="67"/>
    <row r="68">
      <c r="B68" s="14" t="inlineStr">
        <is>
          <t>VPL:</t>
        </is>
      </c>
      <c r="C68" s="15">
        <f>D26+NPV(taxa_desc/100,D27:D65)</f>
        <v/>
      </c>
    </row>
    <row r="69">
      <c r="B69" s="14" t="inlineStr">
        <is>
          <t>TIR:</t>
        </is>
      </c>
      <c r="C69" s="31">
        <f>IF(ISERROR(IRR(D26:D65)),"n/d",IRR(D26:D65))</f>
        <v/>
      </c>
    </row>
    <row r="70">
      <c r="B70" s="14" t="inlineStr">
        <is>
          <t>Payback (anos):</t>
        </is>
      </c>
      <c r="C70" s="32">
        <f>IF(COUNTIF(F26:F65,"&gt;=0")=0,"n/d",MATCH(TRUE,F26:F65&gt;=0,0)-1+ABS(INDEX(F26:F65,MATCH(TRUE,F26:F65&gt;=0,0)-1))/INDEX(E26:E65,MATCH(TRUE,F26:F65&gt;=0,0)))</f>
        <v/>
      </c>
    </row>
    <row r="71"/>
    <row r="72">
      <c r="B72" s="33" t="inlineStr">
        <is>
          <t>NOTA: Fluxo de caixa exclui TODA depreciação (correção CRÍTICO-001).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B1:H1"/>
    <mergeCell ref="B12:E12"/>
    <mergeCell ref="B21:H21"/>
    <mergeCell ref="B3:E3"/>
    <mergeCell ref="B72:H7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4A2A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30" customHeight="1">
      <c r="B1" s="34" t="inlineStr">
        <is>
          <t>PROJETO DE VIABILIDADE AGROPECUÁRIA</t>
        </is>
      </c>
    </row>
    <row r="2" ht="24" customHeight="1">
      <c r="B2" s="35">
        <f>projeto_val</f>
        <v/>
      </c>
    </row>
    <row r="3"/>
    <row r="4">
      <c r="B4" s="36">
        <f>"Produtor: " &amp; produtor_val</f>
        <v/>
      </c>
    </row>
    <row r="5">
      <c r="B5" s="36">
        <f>"Unidade: " &amp; unidade_val</f>
        <v/>
      </c>
    </row>
    <row r="6">
      <c r="B6" s="36">
        <f>"Município: " &amp; municipio_val</f>
        <v/>
      </c>
    </row>
    <row r="7">
      <c r="B7" s="36">
        <f>"Data: " &amp; data_val</f>
        <v/>
      </c>
    </row>
    <row r="8">
      <c r="B8" s="36">
        <f>"Template: " &amp; VLOOKUP(template_val,Ref!$A$1:$K$17,2,FALSE)</f>
        <v/>
      </c>
    </row>
    <row r="9">
      <c r="B9" s="36">
        <f>"Escala: " &amp; TEXT(qtd_val,"#,##0.00") &amp; " " &amp; VLOOKUP(template_val,Ref!$A$1:$K$17,3,FALSE)</f>
        <v/>
      </c>
    </row>
    <row r="10"/>
    <row r="11">
      <c r="B11" s="24" t="inlineStr">
        <is>
          <t>DEMONSTRAÇÃO DE RESULTADO</t>
        </is>
      </c>
    </row>
    <row r="12">
      <c r="B12" s="12" t="inlineStr">
        <is>
          <t>Receita Bruta:</t>
        </is>
      </c>
      <c r="C12" s="22">
        <f>rb_val</f>
        <v/>
      </c>
    </row>
    <row r="13">
      <c r="B13" s="12" t="inlineStr">
        <is>
          <t>(−) Comercialização:</t>
        </is>
      </c>
      <c r="C13" s="22">
        <f>comerc_rs</f>
        <v/>
      </c>
    </row>
    <row r="14">
      <c r="B14" s="12" t="inlineStr">
        <is>
          <t>(−) Funrural:</t>
        </is>
      </c>
      <c r="C14" s="22">
        <f>funrural_rs</f>
        <v/>
      </c>
    </row>
    <row r="15">
      <c r="B15" s="12" t="inlineStr">
        <is>
          <t>Receita Líquida:</t>
        </is>
      </c>
      <c r="C15" s="22">
        <f>rl_val</f>
        <v/>
      </c>
    </row>
    <row r="16">
      <c r="B16" s="12" t="inlineStr">
        <is>
          <t>(−) COE:</t>
        </is>
      </c>
      <c r="C16" s="22">
        <f>coe_total</f>
        <v/>
      </c>
    </row>
    <row r="17">
      <c r="B17" s="12" t="inlineStr">
        <is>
          <t>Margem Bruta:</t>
        </is>
      </c>
      <c r="C17" s="22">
        <f>margem_bruta</f>
        <v/>
      </c>
    </row>
    <row r="18">
      <c r="B18" s="12" t="inlineStr">
        <is>
          <t>(−) Fixos:</t>
        </is>
      </c>
      <c r="C18" s="22">
        <f>cot_val-coe_total</f>
        <v/>
      </c>
    </row>
    <row r="19">
      <c r="B19" s="12" t="inlineStr">
        <is>
          <t>Margem Líquida:</t>
        </is>
      </c>
      <c r="C19" s="22">
        <f>margem_liq</f>
        <v/>
      </c>
    </row>
    <row r="20">
      <c r="B20" s="12" t="inlineStr">
        <is>
          <t>(−) Fatores:</t>
        </is>
      </c>
      <c r="C20" s="22">
        <f>ct_val-cot_val</f>
        <v/>
      </c>
    </row>
    <row r="21">
      <c r="B21" s="12" t="inlineStr">
        <is>
          <t>RESULTADO:</t>
        </is>
      </c>
      <c r="C21" s="37">
        <f>resultado_final</f>
        <v/>
      </c>
    </row>
    <row r="22"/>
    <row r="23">
      <c r="B23" s="24" t="inlineStr">
        <is>
          <t>INDICADORES</t>
        </is>
      </c>
    </row>
    <row r="24">
      <c r="B24" s="12" t="inlineStr">
        <is>
          <t>Eficiência econômica (RB/CT):</t>
        </is>
      </c>
      <c r="C24" s="30">
        <f>IF(ct_val&gt;0,rb_val/ct_val,0)</f>
        <v/>
      </c>
    </row>
    <row r="25">
      <c r="B25" s="12" t="inlineStr">
        <is>
          <t>Lucratividade:</t>
        </is>
      </c>
      <c r="C25" s="29">
        <f>IF(rb_val&gt;0,resultado_final/rb_val,0)</f>
        <v/>
      </c>
    </row>
    <row r="26">
      <c r="B26" s="12" t="inlineStr">
        <is>
          <t>Rentabilidade (ROI):</t>
        </is>
      </c>
      <c r="C26" s="29">
        <f>IF(coe_total&gt;0,resultado_final/coe_total,0)</f>
        <v/>
      </c>
    </row>
    <row r="27">
      <c r="B27" s="12" t="inlineStr">
        <is>
          <t>Margem de segurança:</t>
        </is>
      </c>
      <c r="C27" s="29">
        <f>IF(AND(prod_val&gt;0,B13&gt;0),(prod_val-B13)/prod_val,0)</f>
        <v/>
      </c>
    </row>
    <row r="28"/>
    <row r="29">
      <c r="B29" s="24" t="inlineStr">
        <is>
          <t>AVALIAÇÃO PLURIANUAL (se perene)</t>
        </is>
      </c>
    </row>
    <row r="30">
      <c r="B30" s="12" t="inlineStr">
        <is>
          <t>Investimento total:</t>
        </is>
      </c>
      <c r="C30" s="22">
        <f>invest_total</f>
        <v/>
      </c>
    </row>
    <row r="31">
      <c r="B31" s="12" t="inlineStr">
        <is>
          <t>VPL:</t>
        </is>
      </c>
      <c r="C31" s="22">
        <f>vpl_val</f>
        <v/>
      </c>
    </row>
    <row r="32">
      <c r="B32" s="12" t="inlineStr">
        <is>
          <t>TIR:</t>
        </is>
      </c>
      <c r="C32" s="29">
        <f>tir_val</f>
        <v/>
      </c>
    </row>
    <row r="33">
      <c r="B33" s="12" t="inlineStr">
        <is>
          <t>Cultura:</t>
        </is>
      </c>
      <c r="C33" s="38">
        <f>cultura_val</f>
        <v/>
      </c>
    </row>
    <row r="34">
      <c r="B34" s="12" t="inlineStr">
        <is>
          <t>Anos formação:</t>
        </is>
      </c>
      <c r="C34" s="39">
        <f>form_anos</f>
        <v/>
      </c>
    </row>
    <row r="35">
      <c r="B35" s="12" t="inlineStr">
        <is>
          <t>Vida útil:</t>
        </is>
      </c>
      <c r="C35" s="39">
        <f>vida_util</f>
        <v/>
      </c>
    </row>
    <row r="36"/>
    <row r="37">
      <c r="B37" s="16" t="inlineStr">
        <is>
          <t>Metodologia: CNA/Campo Futuro. COE → COT → CT. Números ilustrativos.</t>
        </is>
      </c>
    </row>
    <row r="38">
      <c r="B38" s="33" t="inlineStr">
        <is>
          <t>NOTAS: (1) Fluxo de caixa (aba 7) exclui toda depreciação e para no fim da vida útil produtiva. (2) Área de implantação e de arrendamento herdam a área do passo 2 (Receita). (3) Ciclos por ano e mortalidade de atividades de giro não são modelados nesta planilha.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11:D11"/>
    <mergeCell ref="B1:H1"/>
    <mergeCell ref="B23:D23"/>
    <mergeCell ref="B38:H38"/>
    <mergeCell ref="B2:H2"/>
    <mergeCell ref="B29:D29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2026-08-11T13:01:29Z</dcterms:created>
  <dcterms:modified xmlns:dcterms="http://purl.org/dc/terms/" xmlns:xsi="http://www.w3.org/2001/XMLSchema-instance" xsi:type="dcterms:W3CDTF">2026-08-11T13:01:29Z</dcterms:modified>
</cp:coreProperties>
</file>